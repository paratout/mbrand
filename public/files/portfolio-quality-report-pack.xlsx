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Settings" sheetId="2" state="visible" r:id="rId4"/>
    <sheet name="Data" sheetId="3" state="visible" r:id="rId5"/>
    <sheet name="Checks" sheetId="4" state="visible" r:id="rId6"/>
    <sheet name="Findings" sheetId="5" state="visible" r:id="rId7"/>
    <sheet name="Report" sheetId="6" state="visible" r:id="rId8"/>
    <sheet name="Tre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<sst xmlns="http://schemas.openxmlformats.org/spreadsheetml/2006/main" count="216" uniqueCount="155">
  <si>
    <t xml:space="preserve">Portfolio quality report pack</t>
  </si>
  <si>
    <t xml:space="preserve">Paste your inventory into the Data sheet. Everything else computes: the six checks, a findings list with owners and due dates, the one-page report, and a twelve-month trend.</t>
  </si>
  <si>
    <t xml:space="preserve">How to run it, monthly, in about twenty minutes</t>
  </si>
  <si>
    <t xml:space="preserve">1. Export the inventory and paste it into Data (columns A to J). Keep the header row. Rows are matched by APP-ID.</t>
  </si>
  <si>
    <t xml:space="preserve">2. Open Checks - each of the six checks flags per row. Nothing to type.</t>
  </si>
  <si>
    <t xml:space="preserve">3. Open Findings - one row per problem, already routed to an owner with a due date. Add the raised date for new ones and keep the ones carried over.</t>
  </si>
  <si>
    <t xml:space="preserve">4. Open Report - the four blocks with the numbers filled in. Copy it into your monthly note.</t>
  </si>
  <si>
    <t xml:space="preserve">5. Add one row to Trend with this month's figures. That sheet is what makes the twelve-month shape visible.</t>
  </si>
  <si>
    <t xml:space="preserve">The rules behind the checks</t>
  </si>
  <si>
    <t xml:space="preserve">Completeness counts only mandatory fields, and only Active records. Plan records are excluded rather than failed.</t>
  </si>
  <si>
    <t xml:space="preserve">Ownership is reported as two separate numbers - business owner coverage always trails, and a blended figure hides the interesting part.</t>
  </si>
  <si>
    <t xml:space="preserve">Stale means not attested within the window on the Settings sheet - 120 days by default. Stale is not wrong, it is unexamined.</t>
  </si>
  <si>
    <t xml:space="preserve">Lifecycle contradictions are the only check that describes risk rather than hygiene. Fix those first.</t>
  </si>
  <si>
    <t xml:space="preserve">Two habits</t>
  </si>
  <si>
    <t xml:space="preserve">Generate findings, never curate them. If a finding is not worth fixing, change the check and say so in the report.</t>
  </si>
  <si>
    <t xml:space="preserve">Route to a person, never a team. A record with no owner produces the finding 'assign an owner', addressed to the domain lead.</t>
  </si>
  <si>
    <t xml:space="preserve">Companion article: mehdibamou.com/publications/portfolio-quality-report - free to use and adapt</t>
  </si>
  <si>
    <t xml:space="preserve">Setting</t>
  </si>
  <si>
    <t xml:space="preserve">Value</t>
  </si>
  <si>
    <t xml:space="preserve">Note</t>
  </si>
  <si>
    <t xml:space="preserve">Report as-at date</t>
  </si>
  <si>
    <t xml:space="preserve">Month end. Drives ages, staleness, and the report header</t>
  </si>
  <si>
    <t xml:space="preserve">Stale window (days)</t>
  </si>
  <si>
    <t xml:space="preserve">90 for fast-moving landscapes, 180 for stable ones</t>
  </si>
  <si>
    <t xml:space="preserve">Completeness target</t>
  </si>
  <si>
    <t xml:space="preserve">Set it where you intend to hold, not where it flatters</t>
  </si>
  <si>
    <t xml:space="preserve">Due days - single field fix</t>
  </si>
  <si>
    <t xml:space="preserve">Working days</t>
  </si>
  <si>
    <t xml:space="preserve">Due days - needs a decision</t>
  </si>
  <si>
    <t xml:space="preserve">APP-ID</t>
  </si>
  <si>
    <t xml:space="preserve">Name</t>
  </si>
  <si>
    <t xml:space="preserve">Description</t>
  </si>
  <si>
    <t xml:space="preserve">Capability</t>
  </si>
  <si>
    <t xml:space="preserve">IT owner</t>
  </si>
  <si>
    <t xml:space="preserve">Business owner</t>
  </si>
  <si>
    <t xml:space="preserve">Lifecycle</t>
  </si>
  <si>
    <t xml:space="preserve">Domain</t>
  </si>
  <si>
    <t xml:space="preserve">Last attested</t>
  </si>
  <si>
    <t xml:space="preserve">Component end of support</t>
  </si>
  <si>
    <t xml:space="preserve">APP-001</t>
  </si>
  <si>
    <t xml:space="preserve">Order management</t>
  </si>
  <si>
    <t xml:space="preserve">Web and store orders to fulfilment handover</t>
  </si>
  <si>
    <t xml:space="preserve">CAP-03</t>
  </si>
  <si>
    <t xml:space="preserve">OWN-01</t>
  </si>
  <si>
    <t xml:space="preserve">OWN-04</t>
  </si>
  <si>
    <t xml:space="preserve">Active</t>
  </si>
  <si>
    <t xml:space="preserve">Commerce</t>
  </si>
  <si>
    <t xml:space="preserve">APP-014</t>
  </si>
  <si>
    <t xml:space="preserve">Returns portal</t>
  </si>
  <si>
    <t xml:space="preserve">Customer returns intake and refunds</t>
  </si>
  <si>
    <t xml:space="preserve">CAP-04</t>
  </si>
  <si>
    <t xml:space="preserve">APP-022</t>
  </si>
  <si>
    <t xml:space="preserve">Store rota tool</t>
  </si>
  <si>
    <t xml:space="preserve">Shift planning used in two markets</t>
  </si>
  <si>
    <t xml:space="preserve">CAP-09</t>
  </si>
  <si>
    <t xml:space="preserve">OWN-02</t>
  </si>
  <si>
    <t xml:space="preserve">Corporate</t>
  </si>
  <si>
    <t xml:space="preserve">APP-031</t>
  </si>
  <si>
    <t xml:space="preserve">Pricing engine</t>
  </si>
  <si>
    <t xml:space="preserve">Calculates promotional prices</t>
  </si>
  <si>
    <t xml:space="preserve">CAP-05</t>
  </si>
  <si>
    <t xml:space="preserve">OWN-03</t>
  </si>
  <si>
    <t xml:space="preserve">OWN-05</t>
  </si>
  <si>
    <t xml:space="preserve">APP-007</t>
  </si>
  <si>
    <t xml:space="preserve">Supplier portal</t>
  </si>
  <si>
    <t xml:space="preserve">Supplier onboarding and documents</t>
  </si>
  <si>
    <t xml:space="preserve">CAP-11</t>
  </si>
  <si>
    <t xml:space="preserve">OWN-06</t>
  </si>
  <si>
    <t xml:space="preserve">Supply chain</t>
  </si>
  <si>
    <t xml:space="preserve">APP-052</t>
  </si>
  <si>
    <t xml:space="preserve">Warehouse control</t>
  </si>
  <si>
    <t xml:space="preserve">Picking and packing control</t>
  </si>
  <si>
    <t xml:space="preserve">CAP-12</t>
  </si>
  <si>
    <t xml:space="preserve">OWN-07</t>
  </si>
  <si>
    <t xml:space="preserve">APP-058</t>
  </si>
  <si>
    <t xml:space="preserve">Warehouse control (DE)</t>
  </si>
  <si>
    <t xml:space="preserve">Picking and packing, German sites</t>
  </si>
  <si>
    <t xml:space="preserve">APP-063</t>
  </si>
  <si>
    <t xml:space="preserve">Analytics workspace</t>
  </si>
  <si>
    <t xml:space="preserve">OWN-08</t>
  </si>
  <si>
    <t xml:space="preserve">Data</t>
  </si>
  <si>
    <t xml:space="preserve">APP-070</t>
  </si>
  <si>
    <t xml:space="preserve">Legacy store portal</t>
  </si>
  <si>
    <t xml:space="preserve">Replaced by APP-001 in most markets</t>
  </si>
  <si>
    <t xml:space="preserve">CAP-07</t>
  </si>
  <si>
    <t xml:space="preserve">Phase-out</t>
  </si>
  <si>
    <t xml:space="preserve">APP-081</t>
  </si>
  <si>
    <t xml:space="preserve">Loyalty engine</t>
  </si>
  <si>
    <t xml:space="preserve">Points, tiers, and vouchers</t>
  </si>
  <si>
    <t xml:space="preserve">CAP-06</t>
  </si>
  <si>
    <t xml:space="preserve">Plan</t>
  </si>
  <si>
    <t xml:space="preserve">^ paste your export from here down. Ten example rows above show the expected shape - delete them when you have real data.</t>
  </si>
  <si>
    <t xml:space="preserve">Active?</t>
  </si>
  <si>
    <t xml:space="preserve">Complete?</t>
  </si>
  <si>
    <t xml:space="preserve">IT owner?</t>
  </si>
  <si>
    <t xml:space="preserve">Business owner?</t>
  </si>
  <si>
    <t xml:space="preserve">Stale?</t>
  </si>
  <si>
    <t xml:space="preserve">Duplicate risk</t>
  </si>
  <si>
    <t xml:space="preserve">Orphan?</t>
  </si>
  <si>
    <t xml:space="preserve">Lifecycle contradiction</t>
  </si>
  <si>
    <t xml:space="preserve">Findings on this row</t>
  </si>
  <si>
    <t xml:space="preserve">1 = passes or flags as labelled. Blank rows stay blank. Nothing here is typed by hand.</t>
  </si>
  <si>
    <t xml:space="preserve">Finding ID</t>
  </si>
  <si>
    <t xml:space="preserve">What is wrong</t>
  </si>
  <si>
    <t xml:space="preserve">Check</t>
  </si>
  <si>
    <t xml:space="preserve">Owner</t>
  </si>
  <si>
    <t xml:space="preserve">Raised</t>
  </si>
  <si>
    <t xml:space="preserve">Due</t>
  </si>
  <si>
    <t xml:space="preserve">Age (days)</t>
  </si>
  <si>
    <t xml:space="preserve">Status</t>
  </si>
  <si>
    <t xml:space="preserve">Domain (lookup)</t>
  </si>
  <si>
    <t xml:space="preserve">F-101</t>
  </si>
  <si>
    <t xml:space="preserve">No business owner</t>
  </si>
  <si>
    <t xml:space="preserve">Missing ownership</t>
  </si>
  <si>
    <t xml:space="preserve">Open</t>
  </si>
  <si>
    <t xml:space="preserve">F-102</t>
  </si>
  <si>
    <t xml:space="preserve">Vacant role - raised with the domain lead</t>
  </si>
  <si>
    <t xml:space="preserve">F-103</t>
  </si>
  <si>
    <t xml:space="preserve">Active on a component past end of support</t>
  </si>
  <si>
    <t xml:space="preserve">Needs a decision, 30-day clock</t>
  </si>
  <si>
    <t xml:space="preserve">F-104</t>
  </si>
  <si>
    <t xml:space="preserve">Not attested in over 120 days</t>
  </si>
  <si>
    <t xml:space="preserve">Stale record</t>
  </si>
  <si>
    <t xml:space="preserve">F-105</t>
  </si>
  <si>
    <t xml:space="preserve">Possible duplicate of APP-058</t>
  </si>
  <si>
    <t xml:space="preserve">Duplicate</t>
  </si>
  <si>
    <t xml:space="preserve">Human check before any merge</t>
  </si>
  <si>
    <t xml:space="preserve">F-106</t>
  </si>
  <si>
    <t xml:space="preserve">No capability, no relationships</t>
  </si>
  <si>
    <t xml:space="preserve">Orphan</t>
  </si>
  <si>
    <t xml:space="preserve">F-098</t>
  </si>
  <si>
    <t xml:space="preserve">Phase-out with no successor named</t>
  </si>
  <si>
    <t xml:space="preserve">Closed</t>
  </si>
  <si>
    <t xml:space="preserve">Successor APP-001 recorded on 12 Jun</t>
  </si>
  <si>
    <t xml:space="preserve">Age computes from the report month on Settings. Closed findings keep their row - the closed count is the number that changes behaviour.</t>
  </si>
  <si>
    <t xml:space="preserve">Portfolio quality - monthly report</t>
  </si>
  <si>
    <t xml:space="preserve">Block 1 - headline</t>
  </si>
  <si>
    <t xml:space="preserve">Completeness, mandatory fields</t>
  </si>
  <si>
    <t xml:space="preserve">Open findings</t>
  </si>
  <si>
    <t xml:space="preserve">Closed since last report</t>
  </si>
  <si>
    <t xml:space="preserve">IT owner coverage</t>
  </si>
  <si>
    <t xml:space="preserve">Business owner coverage</t>
  </si>
  <si>
    <t xml:space="preserve">Lifecycle contradictions</t>
  </si>
  <si>
    <t xml:space="preserve">Block 2 - by domain, sorted by open findings</t>
  </si>
  <si>
    <t xml:space="preserve">Records</t>
  </si>
  <si>
    <t xml:space="preserve">Complete</t>
  </si>
  <si>
    <t xml:space="preserve">Oldest (days)</t>
  </si>
  <si>
    <t xml:space="preserve">Block 3 - findings by owner: copy the open rows from the Findings sheet, grouped by owner, fifteen lines maximum</t>
  </si>
  <si>
    <t xml:space="preserve">Block 4 - two sentences of interpretation</t>
  </si>
  <si>
    <t xml:space="preserve">[ what moved, what stalled, what you are doing about it - not analysis, interpretation ]</t>
  </si>
  <si>
    <t xml:space="preserve">Recipients: four named people who can unblock things. Never a mailbox.</t>
  </si>
  <si>
    <t xml:space="preserve">Month</t>
  </si>
  <si>
    <t xml:space="preserve">Completeness</t>
  </si>
  <si>
    <t xml:space="preserve">Closed this month</t>
  </si>
  <si>
    <t xml:space="preserve">^ this row pulls from the current report. Paste it as values each month, then leave it - twelve rows and the shape becomes obvious.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</si>
</sst>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0%"/>
    <numFmt numFmtId="167" formatCode="0.0%"/>
    <numFmt numFmtId="168" formatCode="0"/>
    <numFmt numFmtId="169" formatCode="yyyy\-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D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4606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606B"/>
        <bgColor rgb="FF008080"/>
      </patternFill>
    </fill>
    <fill>
      <patternFill patternType="solid">
        <fgColor rgb="FFFFFFCC"/>
        <bgColor rgb="FFF2F0EA"/>
      </patternFill>
    </fill>
    <fill>
      <patternFill patternType="solid">
        <fgColor rgb="FFF2F0EA"/>
        <bgColor rgb="FFE3EFE7"/>
      </patternFill>
    </fill>
    <fill>
      <patternFill patternType="solid">
        <fgColor rgb="FFE3EFE7"/>
        <bgColor rgb="FFF2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06B"/>
      <rgbColor rgb="FFC0C0C0"/>
      <rgbColor rgb="FF7D766E"/>
      <rgbColor rgb="FF9999FF"/>
      <rgbColor rgb="FF993366"/>
      <rgbColor rgb="FFFFFFCC"/>
      <rgbColor rgb="FFE3EFE7"/>
      <rgbColor rgb="FF660066"/>
      <rgbColor rgb="FFFF8080"/>
      <rgbColor rgb="FF0066CC"/>
      <rgbColor rgb="FFE4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4"/>
  </cols>
  <sheetData>
    <row r="1" customFormat="false" ht="16.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17</v>
      </c>
      <c r="B1" s="5" t="s">
        <v>18</v>
      </c>
      <c r="C1" s="5" t="s">
        <v>19</v>
      </c>
    </row>
    <row r="2" customFormat="false" ht="15" hidden="false" customHeight="false" outlineLevel="0" collapsed="false">
      <c r="A2" s="6" t="s">
        <v>20</v>
      </c>
      <c r="B2" s="7" t="n">
        <v>46203</v>
      </c>
      <c r="C2" s="8" t="s">
        <v>21</v>
      </c>
    </row>
    <row r="3" customFormat="false" ht="15" hidden="false" customHeight="false" outlineLevel="0" collapsed="false">
      <c r="A3" s="6" t="s">
        <v>22</v>
      </c>
      <c r="B3" s="9" t="n">
        <v>120</v>
      </c>
      <c r="C3" s="8" t="s">
        <v>23</v>
      </c>
    </row>
    <row r="4" customFormat="false" ht="15" hidden="false" customHeight="false" outlineLevel="0" collapsed="false">
      <c r="A4" s="6" t="s">
        <v>24</v>
      </c>
      <c r="B4" s="10" t="n">
        <v>0.9</v>
      </c>
      <c r="C4" s="8" t="s">
        <v>25</v>
      </c>
    </row>
    <row r="5" customFormat="false" ht="15" hidden="false" customHeight="false" outlineLevel="0" collapsed="false">
      <c r="A5" s="6" t="s">
        <v>26</v>
      </c>
      <c r="B5" s="9" t="n">
        <v>15</v>
      </c>
      <c r="C5" s="8" t="s">
        <v>27</v>
      </c>
    </row>
    <row r="6" customFormat="false" ht="15" hidden="false" customHeight="false" outlineLevel="0" collapsed="false">
      <c r="A6" s="6" t="s">
        <v>28</v>
      </c>
      <c r="B6" s="9" t="n">
        <v>30</v>
      </c>
      <c r="C6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11" t="s">
        <v>38</v>
      </c>
    </row>
    <row r="2" customFormat="false" ht="15" hidden="false" customHeight="false" outlineLevel="0" collapsed="false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45</v>
      </c>
      <c r="H2" s="12" t="s">
        <v>46</v>
      </c>
      <c r="I2" s="13" t="n">
        <v>46162</v>
      </c>
      <c r="J2" s="13" t="n">
        <v>46568</v>
      </c>
    </row>
    <row r="3" customFormat="false" ht="15" hidden="false" customHeight="false" outlineLevel="0" collapsed="false">
      <c r="A3" s="14" t="s">
        <v>47</v>
      </c>
      <c r="B3" s="14" t="s">
        <v>48</v>
      </c>
      <c r="C3" s="14" t="s">
        <v>49</v>
      </c>
      <c r="D3" s="14" t="s">
        <v>50</v>
      </c>
      <c r="E3" s="14" t="s">
        <v>43</v>
      </c>
      <c r="F3" s="14"/>
      <c r="G3" s="14" t="s">
        <v>45</v>
      </c>
      <c r="H3" s="14" t="s">
        <v>46</v>
      </c>
      <c r="I3" s="15" t="n">
        <v>46160</v>
      </c>
      <c r="J3" s="15" t="n">
        <v>46418</v>
      </c>
    </row>
    <row r="4" customFormat="false" ht="15" hidden="false" customHeight="false" outlineLevel="0" collapsed="false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2"/>
      <c r="G4" s="12" t="s">
        <v>45</v>
      </c>
      <c r="H4" s="12" t="s">
        <v>56</v>
      </c>
      <c r="I4" s="13" t="n">
        <v>46055</v>
      </c>
      <c r="J4" s="13" t="n">
        <v>46843</v>
      </c>
    </row>
    <row r="5" customFormat="false" ht="15" hidden="false" customHeight="false" outlineLevel="0" collapsed="false">
      <c r="A5" s="14" t="s">
        <v>57</v>
      </c>
      <c r="B5" s="14" t="s">
        <v>58</v>
      </c>
      <c r="C5" s="14" t="s">
        <v>59</v>
      </c>
      <c r="D5" s="14" t="s">
        <v>60</v>
      </c>
      <c r="E5" s="14" t="s">
        <v>61</v>
      </c>
      <c r="F5" s="14" t="s">
        <v>62</v>
      </c>
      <c r="G5" s="14" t="s">
        <v>45</v>
      </c>
      <c r="H5" s="14" t="s">
        <v>46</v>
      </c>
      <c r="I5" s="15" t="n">
        <v>46153</v>
      </c>
      <c r="J5" s="15" t="n">
        <v>46112</v>
      </c>
    </row>
    <row r="6" customFormat="false" ht="15" hidden="false" customHeight="false" outlineLevel="0" collapsed="false">
      <c r="A6" s="12" t="s">
        <v>63</v>
      </c>
      <c r="B6" s="12" t="s">
        <v>64</v>
      </c>
      <c r="C6" s="12" t="s">
        <v>65</v>
      </c>
      <c r="D6" s="12" t="s">
        <v>66</v>
      </c>
      <c r="E6" s="12" t="s">
        <v>55</v>
      </c>
      <c r="F6" s="12" t="s">
        <v>67</v>
      </c>
      <c r="G6" s="12" t="s">
        <v>45</v>
      </c>
      <c r="H6" s="12" t="s">
        <v>68</v>
      </c>
      <c r="I6" s="13" t="n">
        <v>46026</v>
      </c>
      <c r="J6" s="13" t="n">
        <v>46660</v>
      </c>
    </row>
    <row r="7" customFormat="false" ht="15" hidden="false" customHeight="false" outlineLevel="0" collapsed="false">
      <c r="A7" s="14" t="s">
        <v>69</v>
      </c>
      <c r="B7" s="14" t="s">
        <v>70</v>
      </c>
      <c r="C7" s="14" t="s">
        <v>71</v>
      </c>
      <c r="D7" s="14" t="s">
        <v>72</v>
      </c>
      <c r="E7" s="14" t="s">
        <v>61</v>
      </c>
      <c r="F7" s="14" t="s">
        <v>73</v>
      </c>
      <c r="G7" s="14" t="s">
        <v>45</v>
      </c>
      <c r="H7" s="14" t="s">
        <v>68</v>
      </c>
      <c r="I7" s="15" t="n">
        <v>46164</v>
      </c>
      <c r="J7" s="15" t="n">
        <v>46507</v>
      </c>
    </row>
    <row r="8" customFormat="false" ht="15" hidden="false" customHeight="false" outlineLevel="0" collapsed="false">
      <c r="A8" s="12" t="s">
        <v>74</v>
      </c>
      <c r="B8" s="12" t="s">
        <v>75</v>
      </c>
      <c r="C8" s="12" t="s">
        <v>76</v>
      </c>
      <c r="D8" s="12" t="s">
        <v>72</v>
      </c>
      <c r="E8" s="12" t="s">
        <v>61</v>
      </c>
      <c r="F8" s="12" t="s">
        <v>73</v>
      </c>
      <c r="G8" s="12" t="s">
        <v>45</v>
      </c>
      <c r="H8" s="12" t="s">
        <v>68</v>
      </c>
      <c r="I8" s="13" t="n">
        <v>46164</v>
      </c>
      <c r="J8" s="13" t="n">
        <v>46507</v>
      </c>
    </row>
    <row r="9" customFormat="false" ht="15" hidden="false" customHeight="false" outlineLevel="0" collapsed="false">
      <c r="A9" s="14" t="s">
        <v>77</v>
      </c>
      <c r="B9" s="14" t="s">
        <v>78</v>
      </c>
      <c r="C9" s="14"/>
      <c r="D9" s="14"/>
      <c r="E9" s="14" t="s">
        <v>44</v>
      </c>
      <c r="F9" s="14" t="s">
        <v>79</v>
      </c>
      <c r="G9" s="14" t="s">
        <v>45</v>
      </c>
      <c r="H9" s="14" t="s">
        <v>80</v>
      </c>
      <c r="I9" s="15" t="n">
        <v>46161</v>
      </c>
      <c r="J9" s="15"/>
    </row>
    <row r="10" customFormat="false" ht="15" hidden="false" customHeight="false" outlineLevel="0" collapsed="false">
      <c r="A10" s="12" t="s">
        <v>81</v>
      </c>
      <c r="B10" s="12" t="s">
        <v>82</v>
      </c>
      <c r="C10" s="12" t="s">
        <v>83</v>
      </c>
      <c r="D10" s="12" t="s">
        <v>84</v>
      </c>
      <c r="E10" s="12" t="s">
        <v>55</v>
      </c>
      <c r="F10" s="12" t="s">
        <v>67</v>
      </c>
      <c r="G10" s="12" t="s">
        <v>85</v>
      </c>
      <c r="H10" s="12" t="s">
        <v>46</v>
      </c>
      <c r="I10" s="13" t="n">
        <v>46140</v>
      </c>
      <c r="J10" s="13" t="n">
        <v>46295</v>
      </c>
    </row>
    <row r="11" customFormat="false" ht="15" hidden="false" customHeight="false" outlineLevel="0" collapsed="false">
      <c r="A11" s="14" t="s">
        <v>86</v>
      </c>
      <c r="B11" s="14" t="s">
        <v>87</v>
      </c>
      <c r="C11" s="14" t="s">
        <v>88</v>
      </c>
      <c r="D11" s="14" t="s">
        <v>89</v>
      </c>
      <c r="E11" s="14" t="s">
        <v>43</v>
      </c>
      <c r="F11" s="14" t="s">
        <v>44</v>
      </c>
      <c r="G11" s="14" t="s">
        <v>90</v>
      </c>
      <c r="H11" s="14" t="s">
        <v>46</v>
      </c>
      <c r="I11" s="15"/>
      <c r="J11" s="15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15" hidden="false" customHeight="false" outlineLevel="0" collapsed="false">
      <c r="A13" s="8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8"/>
  </cols>
  <sheetData>
    <row r="1" customFormat="false" ht="23.85" hidden="false" customHeight="false" outlineLevel="0" collapsed="false">
      <c r="A1" s="11" t="s">
        <v>29</v>
      </c>
      <c r="B1" s="11" t="s">
        <v>92</v>
      </c>
      <c r="C1" s="11" t="s">
        <v>93</v>
      </c>
      <c r="D1" s="11" t="s">
        <v>94</v>
      </c>
      <c r="E1" s="11" t="s">
        <v>95</v>
      </c>
      <c r="F1" s="11" t="s">
        <v>96</v>
      </c>
      <c r="G1" s="11" t="s">
        <v>97</v>
      </c>
      <c r="H1" s="11" t="s">
        <v>98</v>
      </c>
      <c r="I1" s="11" t="s">
        <v>99</v>
      </c>
      <c r="J1" s="11" t="s">
        <v>100</v>
      </c>
    </row>
    <row r="2" customFormat="false" ht="15" hidden="false" customHeight="false" outlineLevel="0" collapsed="false">
      <c r="A2" s="17" t="str">
        <f aca="false">IF(Data!A2="","",Data!A2)</f>
        <v>APP-001</v>
      </c>
      <c r="B2" s="17" t="n">
        <f aca="false">IF($A2="","",IF(Data!G2="Active",1,0))</f>
        <v>1</v>
      </c>
      <c r="C2" s="17" t="n">
        <f aca="false">IF($B2&lt;&gt;1,"",IF(COUNTBLANK(Data!B2:H2)=0,1,0))</f>
        <v>1</v>
      </c>
      <c r="D2" s="17" t="n">
        <f aca="false">IF($B2&lt;&gt;1,"",IF(LEFT(Data!E2,4)="OWN-",1,0))</f>
        <v>1</v>
      </c>
      <c r="E2" s="17" t="n">
        <f aca="false">IF($B2&lt;&gt;1,"",IF(LEFT(Data!F2,4)="OWN-",1,0))</f>
        <v>1</v>
      </c>
      <c r="F2" s="17" t="n">
        <f aca="false">IF($B2&lt;&gt;1,"",IF(OR(Data!I2="",(Settings!$B$2-Data!I2)&gt;Settings!$B$3),1,0))</f>
        <v>0</v>
      </c>
      <c r="G2" s="17" t="n">
        <f aca="false">IF($B2&lt;&gt;1,"",IF(SUMPRODUCT(--($B$2:$B$201=1),--(LEFT(Data!$B$2:$B$201,8)=LEFT(Data!B2,8)))&gt;1,1,0))</f>
        <v>0</v>
      </c>
      <c r="H2" s="17" t="n">
        <f aca="false">IF($B2&lt;&gt;1,"",IF(Data!D2="",1,0))</f>
        <v>0</v>
      </c>
      <c r="I2" s="17" t="n">
        <f aca="false">IF($A2="","",IF(AND(Data!J2&lt;&gt;"",ISNUMBER(Data!J2),Data!J2&lt;Settings!$B$2,Data!G2="Active"),1,0))</f>
        <v>0</v>
      </c>
      <c r="J2" s="17" t="n">
        <f aca="false">IF($A2="","",IF($B2&lt;&gt;1,0,(1-N($C2))+(1-N($D2))+(1-N($E2))+N($F2)+N($G2)+N($H2)+N($I2)))</f>
        <v>0</v>
      </c>
    </row>
    <row r="3" customFormat="false" ht="15" hidden="false" customHeight="false" outlineLevel="0" collapsed="false">
      <c r="A3" s="18" t="str">
        <f aca="false">IF(Data!A3="","",Data!A3)</f>
        <v>APP-014</v>
      </c>
      <c r="B3" s="18" t="n">
        <f aca="false">IF($A3="","",IF(Data!G3="Active",1,0))</f>
        <v>1</v>
      </c>
      <c r="C3" s="18" t="n">
        <f aca="false">IF($B3&lt;&gt;1,"",IF(COUNTBLANK(Data!B3:H3)=0,1,0))</f>
        <v>0</v>
      </c>
      <c r="D3" s="18" t="n">
        <f aca="false">IF($B3&lt;&gt;1,"",IF(LEFT(Data!E3,4)="OWN-",1,0))</f>
        <v>1</v>
      </c>
      <c r="E3" s="18" t="n">
        <f aca="false">IF($B3&lt;&gt;1,"",IF(LEFT(Data!F3,4)="OWN-",1,0))</f>
        <v>0</v>
      </c>
      <c r="F3" s="18" t="n">
        <f aca="false">IF($B3&lt;&gt;1,"",IF(OR(Data!I3="",(Settings!$B$2-Data!I3)&gt;Settings!$B$3),1,0))</f>
        <v>0</v>
      </c>
      <c r="G3" s="18" t="n">
        <f aca="false">IF($B3&lt;&gt;1,"",IF(SUMPRODUCT(--($B$2:$B$201=1),--(LEFT(Data!$B$2:$B$201,8)=LEFT(Data!B3,8)))&gt;1,1,0))</f>
        <v>0</v>
      </c>
      <c r="H3" s="18" t="n">
        <f aca="false">IF($B3&lt;&gt;1,"",IF(Data!D3="",1,0))</f>
        <v>0</v>
      </c>
      <c r="I3" s="18" t="n">
        <f aca="false">IF($A3="","",IF(AND(Data!J3&lt;&gt;"",ISNUMBER(Data!J3),Data!J3&lt;Settings!$B$2,Data!G3="Active"),1,0))</f>
        <v>0</v>
      </c>
      <c r="J3" s="18" t="n">
        <f aca="false">IF($A3="","",IF($B3&lt;&gt;1,0,(1-N($C3))+(1-N($D3))+(1-N($E3))+N($F3)+N($G3)+N($H3)+N($I3)))</f>
        <v>2</v>
      </c>
    </row>
    <row r="4" customFormat="false" ht="15" hidden="false" customHeight="false" outlineLevel="0" collapsed="false">
      <c r="A4" s="17" t="str">
        <f aca="false">IF(Data!A4="","",Data!A4)</f>
        <v>APP-022</v>
      </c>
      <c r="B4" s="17" t="n">
        <f aca="false">IF($A4="","",IF(Data!G4="Active",1,0))</f>
        <v>1</v>
      </c>
      <c r="C4" s="17" t="n">
        <f aca="false">IF($B4&lt;&gt;1,"",IF(COUNTBLANK(Data!B4:H4)=0,1,0))</f>
        <v>0</v>
      </c>
      <c r="D4" s="17" t="n">
        <f aca="false">IF($B4&lt;&gt;1,"",IF(LEFT(Data!E4,4)="OWN-",1,0))</f>
        <v>1</v>
      </c>
      <c r="E4" s="17" t="n">
        <f aca="false">IF($B4&lt;&gt;1,"",IF(LEFT(Data!F4,4)="OWN-",1,0))</f>
        <v>0</v>
      </c>
      <c r="F4" s="17" t="n">
        <f aca="false">IF($B4&lt;&gt;1,"",IF(OR(Data!I4="",(Settings!$B$2-Data!I4)&gt;Settings!$B$3),1,0))</f>
        <v>1</v>
      </c>
      <c r="G4" s="17" t="n">
        <f aca="false">IF($B4&lt;&gt;1,"",IF(SUMPRODUCT(--($B$2:$B$201=1),--(LEFT(Data!$B$2:$B$201,8)=LEFT(Data!B4,8)))&gt;1,1,0))</f>
        <v>0</v>
      </c>
      <c r="H4" s="17" t="n">
        <f aca="false">IF($B4&lt;&gt;1,"",IF(Data!D4="",1,0))</f>
        <v>0</v>
      </c>
      <c r="I4" s="17" t="n">
        <f aca="false">IF($A4="","",IF(AND(Data!J4&lt;&gt;"",ISNUMBER(Data!J4),Data!J4&lt;Settings!$B$2,Data!G4="Active"),1,0))</f>
        <v>0</v>
      </c>
      <c r="J4" s="17" t="n">
        <f aca="false">IF($A4="","",IF($B4&lt;&gt;1,0,(1-N($C4))+(1-N($D4))+(1-N($E4))+N($F4)+N($G4)+N($H4)+N($I4)))</f>
        <v>3</v>
      </c>
    </row>
    <row r="5" customFormat="false" ht="15" hidden="false" customHeight="false" outlineLevel="0" collapsed="false">
      <c r="A5" s="18" t="str">
        <f aca="false">IF(Data!A5="","",Data!A5)</f>
        <v>APP-031</v>
      </c>
      <c r="B5" s="18" t="n">
        <f aca="false">IF($A5="","",IF(Data!G5="Active",1,0))</f>
        <v>1</v>
      </c>
      <c r="C5" s="18" t="n">
        <f aca="false">IF($B5&lt;&gt;1,"",IF(COUNTBLANK(Data!B5:H5)=0,1,0))</f>
        <v>1</v>
      </c>
      <c r="D5" s="18" t="n">
        <f aca="false">IF($B5&lt;&gt;1,"",IF(LEFT(Data!E5,4)="OWN-",1,0))</f>
        <v>1</v>
      </c>
      <c r="E5" s="18" t="n">
        <f aca="false">IF($B5&lt;&gt;1,"",IF(LEFT(Data!F5,4)="OWN-",1,0))</f>
        <v>1</v>
      </c>
      <c r="F5" s="18" t="n">
        <f aca="false">IF($B5&lt;&gt;1,"",IF(OR(Data!I5="",(Settings!$B$2-Data!I5)&gt;Settings!$B$3),1,0))</f>
        <v>0</v>
      </c>
      <c r="G5" s="18" t="n">
        <f aca="false">IF($B5&lt;&gt;1,"",IF(SUMPRODUCT(--($B$2:$B$201=1),--(LEFT(Data!$B$2:$B$201,8)=LEFT(Data!B5,8)))&gt;1,1,0))</f>
        <v>0</v>
      </c>
      <c r="H5" s="18" t="n">
        <f aca="false">IF($B5&lt;&gt;1,"",IF(Data!D5="",1,0))</f>
        <v>0</v>
      </c>
      <c r="I5" s="18" t="n">
        <f aca="false">IF($A5="","",IF(AND(Data!J5&lt;&gt;"",ISNUMBER(Data!J5),Data!J5&lt;Settings!$B$2,Data!G5="Active"),1,0))</f>
        <v>1</v>
      </c>
      <c r="J5" s="18" t="n">
        <f aca="false">IF($A5="","",IF($B5&lt;&gt;1,0,(1-N($C5))+(1-N($D5))+(1-N($E5))+N($F5)+N($G5)+N($H5)+N($I5)))</f>
        <v>1</v>
      </c>
    </row>
    <row r="6" customFormat="false" ht="15" hidden="false" customHeight="false" outlineLevel="0" collapsed="false">
      <c r="A6" s="17" t="str">
        <f aca="false">IF(Data!A6="","",Data!A6)</f>
        <v>APP-007</v>
      </c>
      <c r="B6" s="17" t="n">
        <f aca="false">IF($A6="","",IF(Data!G6="Active",1,0))</f>
        <v>1</v>
      </c>
      <c r="C6" s="17" t="n">
        <f aca="false">IF($B6&lt;&gt;1,"",IF(COUNTBLANK(Data!B6:H6)=0,1,0))</f>
        <v>1</v>
      </c>
      <c r="D6" s="17" t="n">
        <f aca="false">IF($B6&lt;&gt;1,"",IF(LEFT(Data!E6,4)="OWN-",1,0))</f>
        <v>1</v>
      </c>
      <c r="E6" s="17" t="n">
        <f aca="false">IF($B6&lt;&gt;1,"",IF(LEFT(Data!F6,4)="OWN-",1,0))</f>
        <v>1</v>
      </c>
      <c r="F6" s="17" t="n">
        <f aca="false">IF($B6&lt;&gt;1,"",IF(OR(Data!I6="",(Settings!$B$2-Data!I6)&gt;Settings!$B$3),1,0))</f>
        <v>1</v>
      </c>
      <c r="G6" s="17" t="n">
        <f aca="false">IF($B6&lt;&gt;1,"",IF(SUMPRODUCT(--($B$2:$B$201=1),--(LEFT(Data!$B$2:$B$201,8)=LEFT(Data!B6,8)))&gt;1,1,0))</f>
        <v>0</v>
      </c>
      <c r="H6" s="17" t="n">
        <f aca="false">IF($B6&lt;&gt;1,"",IF(Data!D6="",1,0))</f>
        <v>0</v>
      </c>
      <c r="I6" s="17" t="n">
        <f aca="false">IF($A6="","",IF(AND(Data!J6&lt;&gt;"",ISNUMBER(Data!J6),Data!J6&lt;Settings!$B$2,Data!G6="Active"),1,0))</f>
        <v>0</v>
      </c>
      <c r="J6" s="17" t="n">
        <f aca="false">IF($A6="","",IF($B6&lt;&gt;1,0,(1-N($C6))+(1-N($D6))+(1-N($E6))+N($F6)+N($G6)+N($H6)+N($I6)))</f>
        <v>1</v>
      </c>
    </row>
    <row r="7" customFormat="false" ht="15" hidden="false" customHeight="false" outlineLevel="0" collapsed="false">
      <c r="A7" s="18" t="str">
        <f aca="false">IF(Data!A7="","",Data!A7)</f>
        <v>APP-052</v>
      </c>
      <c r="B7" s="18" t="n">
        <f aca="false">IF($A7="","",IF(Data!G7="Active",1,0))</f>
        <v>1</v>
      </c>
      <c r="C7" s="18" t="n">
        <f aca="false">IF($B7&lt;&gt;1,"",IF(COUNTBLANK(Data!B7:H7)=0,1,0))</f>
        <v>1</v>
      </c>
      <c r="D7" s="18" t="n">
        <f aca="false">IF($B7&lt;&gt;1,"",IF(LEFT(Data!E7,4)="OWN-",1,0))</f>
        <v>1</v>
      </c>
      <c r="E7" s="18" t="n">
        <f aca="false">IF($B7&lt;&gt;1,"",IF(LEFT(Data!F7,4)="OWN-",1,0))</f>
        <v>1</v>
      </c>
      <c r="F7" s="18" t="n">
        <f aca="false">IF($B7&lt;&gt;1,"",IF(OR(Data!I7="",(Settings!$B$2-Data!I7)&gt;Settings!$B$3),1,0))</f>
        <v>0</v>
      </c>
      <c r="G7" s="18" t="n">
        <f aca="false">IF($B7&lt;&gt;1,"",IF(SUMPRODUCT(--($B$2:$B$201=1),--(LEFT(Data!$B$2:$B$201,8)=LEFT(Data!B7,8)))&gt;1,1,0))</f>
        <v>1</v>
      </c>
      <c r="H7" s="18" t="n">
        <f aca="false">IF($B7&lt;&gt;1,"",IF(Data!D7="",1,0))</f>
        <v>0</v>
      </c>
      <c r="I7" s="18" t="n">
        <f aca="false">IF($A7="","",IF(AND(Data!J7&lt;&gt;"",ISNUMBER(Data!J7),Data!J7&lt;Settings!$B$2,Data!G7="Active"),1,0))</f>
        <v>0</v>
      </c>
      <c r="J7" s="18" t="n">
        <f aca="false">IF($A7="","",IF($B7&lt;&gt;1,0,(1-N($C7))+(1-N($D7))+(1-N($E7))+N($F7)+N($G7)+N($H7)+N($I7)))</f>
        <v>1</v>
      </c>
    </row>
    <row r="8" customFormat="false" ht="15" hidden="false" customHeight="false" outlineLevel="0" collapsed="false">
      <c r="A8" s="17" t="str">
        <f aca="false">IF(Data!A8="","",Data!A8)</f>
        <v>APP-058</v>
      </c>
      <c r="B8" s="17" t="n">
        <f aca="false">IF($A8="","",IF(Data!G8="Active",1,0))</f>
        <v>1</v>
      </c>
      <c r="C8" s="17" t="n">
        <f aca="false">IF($B8&lt;&gt;1,"",IF(COUNTBLANK(Data!B8:H8)=0,1,0))</f>
        <v>1</v>
      </c>
      <c r="D8" s="17" t="n">
        <f aca="false">IF($B8&lt;&gt;1,"",IF(LEFT(Data!E8,4)="OWN-",1,0))</f>
        <v>1</v>
      </c>
      <c r="E8" s="17" t="n">
        <f aca="false">IF($B8&lt;&gt;1,"",IF(LEFT(Data!F8,4)="OWN-",1,0))</f>
        <v>1</v>
      </c>
      <c r="F8" s="17" t="n">
        <f aca="false">IF($B8&lt;&gt;1,"",IF(OR(Data!I8="",(Settings!$B$2-Data!I8)&gt;Settings!$B$3),1,0))</f>
        <v>0</v>
      </c>
      <c r="G8" s="17" t="n">
        <f aca="false">IF($B8&lt;&gt;1,"",IF(SUMPRODUCT(--($B$2:$B$201=1),--(LEFT(Data!$B$2:$B$201,8)=LEFT(Data!B8,8)))&gt;1,1,0))</f>
        <v>1</v>
      </c>
      <c r="H8" s="17" t="n">
        <f aca="false">IF($B8&lt;&gt;1,"",IF(Data!D8="",1,0))</f>
        <v>0</v>
      </c>
      <c r="I8" s="17" t="n">
        <f aca="false">IF($A8="","",IF(AND(Data!J8&lt;&gt;"",ISNUMBER(Data!J8),Data!J8&lt;Settings!$B$2,Data!G8="Active"),1,0))</f>
        <v>0</v>
      </c>
      <c r="J8" s="17" t="n">
        <f aca="false">IF($A8="","",IF($B8&lt;&gt;1,0,(1-N($C8))+(1-N($D8))+(1-N($E8))+N($F8)+N($G8)+N($H8)+N($I8)))</f>
        <v>1</v>
      </c>
    </row>
    <row r="9" customFormat="false" ht="15" hidden="false" customHeight="false" outlineLevel="0" collapsed="false">
      <c r="A9" s="18" t="str">
        <f aca="false">IF(Data!A9="","",Data!A9)</f>
        <v>APP-063</v>
      </c>
      <c r="B9" s="18" t="n">
        <f aca="false">IF($A9="","",IF(Data!G9="Active",1,0))</f>
        <v>1</v>
      </c>
      <c r="C9" s="18" t="n">
        <f aca="false">IF($B9&lt;&gt;1,"",IF(COUNTBLANK(Data!B9:H9)=0,1,0))</f>
        <v>0</v>
      </c>
      <c r="D9" s="18" t="n">
        <f aca="false">IF($B9&lt;&gt;1,"",IF(LEFT(Data!E9,4)="OWN-",1,0))</f>
        <v>1</v>
      </c>
      <c r="E9" s="18" t="n">
        <f aca="false">IF($B9&lt;&gt;1,"",IF(LEFT(Data!F9,4)="OWN-",1,0))</f>
        <v>1</v>
      </c>
      <c r="F9" s="18" t="n">
        <f aca="false">IF($B9&lt;&gt;1,"",IF(OR(Data!I9="",(Settings!$B$2-Data!I9)&gt;Settings!$B$3),1,0))</f>
        <v>0</v>
      </c>
      <c r="G9" s="18" t="n">
        <f aca="false">IF($B9&lt;&gt;1,"",IF(SUMPRODUCT(--($B$2:$B$201=1),--(LEFT(Data!$B$2:$B$201,8)=LEFT(Data!B9,8)))&gt;1,1,0))</f>
        <v>0</v>
      </c>
      <c r="H9" s="18" t="n">
        <f aca="false">IF($B9&lt;&gt;1,"",IF(Data!D9="",1,0))</f>
        <v>1</v>
      </c>
      <c r="I9" s="18" t="n">
        <f aca="false">IF($A9="","",IF(AND(Data!J9&lt;&gt;"",ISNUMBER(Data!J9),Data!J9&lt;Settings!$B$2,Data!G9="Active"),1,0))</f>
        <v>0</v>
      </c>
      <c r="J9" s="18" t="n">
        <f aca="false">IF($A9="","",IF($B9&lt;&gt;1,0,(1-N($C9))+(1-N($D9))+(1-N($E9))+N($F9)+N($G9)+N($H9)+N($I9)))</f>
        <v>2</v>
      </c>
    </row>
    <row r="10" customFormat="false" ht="15" hidden="false" customHeight="false" outlineLevel="0" collapsed="false">
      <c r="A10" s="17" t="str">
        <f aca="false">IF(Data!A10="","",Data!A10)</f>
        <v>APP-070</v>
      </c>
      <c r="B10" s="17" t="n">
        <f aca="false">IF($A10="","",IF(Data!G10="Active",1,0))</f>
        <v>0</v>
      </c>
      <c r="C10" s="17" t="str">
        <f aca="false">IF($B10&lt;&gt;1,"",IF(COUNTBLANK(Data!B10:H10)=0,1,0))</f>
        <v/>
      </c>
      <c r="D10" s="17" t="str">
        <f aca="false">IF($B10&lt;&gt;1,"",IF(LEFT(Data!E10,4)="OWN-",1,0))</f>
        <v/>
      </c>
      <c r="E10" s="17" t="str">
        <f aca="false">IF($B10&lt;&gt;1,"",IF(LEFT(Data!F10,4)="OWN-",1,0))</f>
        <v/>
      </c>
      <c r="F10" s="17" t="str">
        <f aca="false">IF($B10&lt;&gt;1,"",IF(OR(Data!I10="",(Settings!$B$2-Data!I10)&gt;Settings!$B$3),1,0))</f>
        <v/>
      </c>
      <c r="G10" s="17" t="str">
        <f aca="false">IF($B10&lt;&gt;1,"",IF(SUMPRODUCT(--($B$2:$B$201=1),--(LEFT(Data!$B$2:$B$201,8)=LEFT(Data!B10,8)))&gt;1,1,0))</f>
        <v/>
      </c>
      <c r="H10" s="17" t="str">
        <f aca="false">IF($B10&lt;&gt;1,"",IF(Data!D10="",1,0))</f>
        <v/>
      </c>
      <c r="I10" s="17" t="n">
        <f aca="false">IF($A10="","",IF(AND(Data!J10&lt;&gt;"",ISNUMBER(Data!J10),Data!J10&lt;Settings!$B$2,Data!G10="Active"),1,0))</f>
        <v>0</v>
      </c>
      <c r="J10" s="17" t="n">
        <f aca="false">IF($A10="","",IF($B10&lt;&gt;1,0,(1-N($C10))+(1-N($D10))+(1-N($E10))+N($F10)+N($G10)+N($H10)+N($I10)))</f>
        <v>0</v>
      </c>
    </row>
    <row r="11" customFormat="false" ht="15" hidden="false" customHeight="false" outlineLevel="0" collapsed="false">
      <c r="A11" s="18" t="str">
        <f aca="false">IF(Data!A11="","",Data!A11)</f>
        <v>APP-081</v>
      </c>
      <c r="B11" s="18" t="n">
        <f aca="false">IF($A11="","",IF(Data!G11="Active",1,0))</f>
        <v>0</v>
      </c>
      <c r="C11" s="18" t="str">
        <f aca="false">IF($B11&lt;&gt;1,"",IF(COUNTBLANK(Data!B11:H11)=0,1,0))</f>
        <v/>
      </c>
      <c r="D11" s="18" t="str">
        <f aca="false">IF($B11&lt;&gt;1,"",IF(LEFT(Data!E11,4)="OWN-",1,0))</f>
        <v/>
      </c>
      <c r="E11" s="18" t="str">
        <f aca="false">IF($B11&lt;&gt;1,"",IF(LEFT(Data!F11,4)="OWN-",1,0))</f>
        <v/>
      </c>
      <c r="F11" s="18" t="str">
        <f aca="false">IF($B11&lt;&gt;1,"",IF(OR(Data!I11="",(Settings!$B$2-Data!I11)&gt;Settings!$B$3),1,0))</f>
        <v/>
      </c>
      <c r="G11" s="18" t="str">
        <f aca="false">IF($B11&lt;&gt;1,"",IF(SUMPRODUCT(--($B$2:$B$201=1),--(LEFT(Data!$B$2:$B$201,8)=LEFT(Data!B11,8)))&gt;1,1,0))</f>
        <v/>
      </c>
      <c r="H11" s="18" t="str">
        <f aca="false">IF($B11&lt;&gt;1,"",IF(Data!D11="",1,0))</f>
        <v/>
      </c>
      <c r="I11" s="18" t="n">
        <f aca="false">IF($A11="","",IF(AND(Data!J11&lt;&gt;"",ISNUMBER(Data!J11),Data!J11&lt;Settings!$B$2,Data!G11="Active"),1,0))</f>
        <v>0</v>
      </c>
      <c r="J11" s="18" t="n">
        <f aca="false">IF($A11="","",IF($B11&lt;&gt;1,0,(1-N($C11))+(1-N($D11))+(1-N($E11))+N($F11)+N($G11)+N($H11)+N($I11)))</f>
        <v>0</v>
      </c>
    </row>
    <row r="12" customFormat="false" ht="15" hidden="false" customHeight="false" outlineLevel="0" collapsed="false">
      <c r="A12" s="17" t="str">
        <f aca="false">IF(Data!A12="","",Data!A12)</f>
        <v/>
      </c>
      <c r="B12" s="17" t="str">
        <f aca="false">IF($A12="","",IF(Data!G12="Active",1,0))</f>
        <v/>
      </c>
      <c r="C12" s="17" t="str">
        <f aca="false">IF($B12&lt;&gt;1,"",IF(COUNTBLANK(Data!B12:H12)=0,1,0))</f>
        <v/>
      </c>
      <c r="D12" s="17" t="str">
        <f aca="false">IF($B12&lt;&gt;1,"",IF(LEFT(Data!E12,4)="OWN-",1,0))</f>
        <v/>
      </c>
      <c r="E12" s="17" t="str">
        <f aca="false">IF($B12&lt;&gt;1,"",IF(LEFT(Data!F12,4)="OWN-",1,0))</f>
        <v/>
      </c>
      <c r="F12" s="17" t="str">
        <f aca="false">IF($B12&lt;&gt;1,"",IF(OR(Data!I12="",(Settings!$B$2-Data!I12)&gt;Settings!$B$3),1,0))</f>
        <v/>
      </c>
      <c r="G12" s="17" t="str">
        <f aca="false">IF($B12&lt;&gt;1,"",IF(SUMPRODUCT(--($B$2:$B$201=1),--(LEFT(Data!$B$2:$B$201,8)=LEFT(Data!B12,8)))&gt;1,1,0))</f>
        <v/>
      </c>
      <c r="H12" s="17" t="str">
        <f aca="false">IF($B12&lt;&gt;1,"",IF(Data!D12="",1,0))</f>
        <v/>
      </c>
      <c r="I12" s="17" t="str">
        <f aca="false">IF($A12="","",IF(AND(Data!J12&lt;&gt;"",ISNUMBER(Data!J12),Data!J12&lt;Settings!$B$2,Data!G12="Active"),1,0))</f>
        <v/>
      </c>
      <c r="J12" s="17" t="str">
        <f aca="false">IF($A12="","",IF($B12&lt;&gt;1,0,(1-N($C12))+(1-N($D12))+(1-N($E12))+N($F12)+N($G12)+N($H12)+N($I12)))</f>
        <v/>
      </c>
    </row>
    <row r="13" customFormat="false" ht="15" hidden="false" customHeight="false" outlineLevel="0" collapsed="false">
      <c r="A13" s="18" t="str">
        <f aca="false">IF(Data!A13="","",Data!A13)</f>
        <v>^ paste your export from here down. Ten example rows above show the expected shape - delete them when you have real data.</v>
      </c>
      <c r="B13" s="18" t="n">
        <f aca="false">IF($A13="","",IF(Data!G13="Active",1,0))</f>
        <v>0</v>
      </c>
      <c r="C13" s="18" t="str">
        <f aca="false">IF($B13&lt;&gt;1,"",IF(COUNTBLANK(Data!B13:H13)=0,1,0))</f>
        <v/>
      </c>
      <c r="D13" s="18" t="str">
        <f aca="false">IF($B13&lt;&gt;1,"",IF(LEFT(Data!E13,4)="OWN-",1,0))</f>
        <v/>
      </c>
      <c r="E13" s="18" t="str">
        <f aca="false">IF($B13&lt;&gt;1,"",IF(LEFT(Data!F13,4)="OWN-",1,0))</f>
        <v/>
      </c>
      <c r="F13" s="18" t="str">
        <f aca="false">IF($B13&lt;&gt;1,"",IF(OR(Data!I13="",(Settings!$B$2-Data!I13)&gt;Settings!$B$3),1,0))</f>
        <v/>
      </c>
      <c r="G13" s="18" t="str">
        <f aca="false">IF($B13&lt;&gt;1,"",IF(SUMPRODUCT(--($B$2:$B$201=1),--(LEFT(Data!$B$2:$B$201,8)=LEFT(Data!B13,8)))&gt;1,1,0))</f>
        <v/>
      </c>
      <c r="H13" s="18" t="str">
        <f aca="false">IF($B13&lt;&gt;1,"",IF(Data!D13="",1,0))</f>
        <v/>
      </c>
      <c r="I13" s="18" t="n">
        <f aca="false">IF($A13="","",IF(AND(Data!J13&lt;&gt;"",ISNUMBER(Data!J13),Data!J13&lt;Settings!$B$2,Data!G13="Active"),1,0))</f>
        <v>0</v>
      </c>
      <c r="J13" s="18" t="n">
        <f aca="false">IF($A13="","",IF($B13&lt;&gt;1,0,(1-N($C13))+(1-N($D13))+(1-N($E13))+N($F13)+N($G13)+N($H13)+N($I13)))</f>
        <v>0</v>
      </c>
    </row>
    <row r="14" customFormat="false" ht="15" hidden="false" customHeight="false" outlineLevel="0" collapsed="false">
      <c r="A14" s="17" t="str">
        <f aca="false">IF(Data!A14="","",Data!A14)</f>
        <v/>
      </c>
      <c r="B14" s="17" t="str">
        <f aca="false">IF($A14="","",IF(Data!G14="Active",1,0))</f>
        <v/>
      </c>
      <c r="C14" s="17" t="str">
        <f aca="false">IF($B14&lt;&gt;1,"",IF(COUNTBLANK(Data!B14:H14)=0,1,0))</f>
        <v/>
      </c>
      <c r="D14" s="17" t="str">
        <f aca="false">IF($B14&lt;&gt;1,"",IF(LEFT(Data!E14,4)="OWN-",1,0))</f>
        <v/>
      </c>
      <c r="E14" s="17" t="str">
        <f aca="false">IF($B14&lt;&gt;1,"",IF(LEFT(Data!F14,4)="OWN-",1,0))</f>
        <v/>
      </c>
      <c r="F14" s="17" t="str">
        <f aca="false">IF($B14&lt;&gt;1,"",IF(OR(Data!I14="",(Settings!$B$2-Data!I14)&gt;Settings!$B$3),1,0))</f>
        <v/>
      </c>
      <c r="G14" s="17" t="str">
        <f aca="false">IF($B14&lt;&gt;1,"",IF(SUMPRODUCT(--($B$2:$B$201=1),--(LEFT(Data!$B$2:$B$201,8)=LEFT(Data!B14,8)))&gt;1,1,0))</f>
        <v/>
      </c>
      <c r="H14" s="17" t="str">
        <f aca="false">IF($B14&lt;&gt;1,"",IF(Data!D14="",1,0))</f>
        <v/>
      </c>
      <c r="I14" s="17" t="str">
        <f aca="false">IF($A14="","",IF(AND(Data!J14&lt;&gt;"",ISNUMBER(Data!J14),Data!J14&lt;Settings!$B$2,Data!G14="Active"),1,0))</f>
        <v/>
      </c>
      <c r="J14" s="17" t="str">
        <f aca="false">IF($A14="","",IF($B14&lt;&gt;1,0,(1-N($C14))+(1-N($D14))+(1-N($E14))+N($F14)+N($G14)+N($H14)+N($I14)))</f>
        <v/>
      </c>
    </row>
    <row r="15" customFormat="false" ht="15" hidden="false" customHeight="false" outlineLevel="0" collapsed="false">
      <c r="A15" s="18" t="str">
        <f aca="false">IF(Data!A15="","",Data!A15)</f>
        <v/>
      </c>
      <c r="B15" s="18" t="str">
        <f aca="false">IF($A15="","",IF(Data!G15="Active",1,0))</f>
        <v/>
      </c>
      <c r="C15" s="18" t="str">
        <f aca="false">IF($B15&lt;&gt;1,"",IF(COUNTBLANK(Data!B15:H15)=0,1,0))</f>
        <v/>
      </c>
      <c r="D15" s="18" t="str">
        <f aca="false">IF($B15&lt;&gt;1,"",IF(LEFT(Data!E15,4)="OWN-",1,0))</f>
        <v/>
      </c>
      <c r="E15" s="18" t="str">
        <f aca="false">IF($B15&lt;&gt;1,"",IF(LEFT(Data!F15,4)="OWN-",1,0))</f>
        <v/>
      </c>
      <c r="F15" s="18" t="str">
        <f aca="false">IF($B15&lt;&gt;1,"",IF(OR(Data!I15="",(Settings!$B$2-Data!I15)&gt;Settings!$B$3),1,0))</f>
        <v/>
      </c>
      <c r="G15" s="18" t="str">
        <f aca="false">IF($B15&lt;&gt;1,"",IF(SUMPRODUCT(--($B$2:$B$201=1),--(LEFT(Data!$B$2:$B$201,8)=LEFT(Data!B15,8)))&gt;1,1,0))</f>
        <v/>
      </c>
      <c r="H15" s="18" t="str">
        <f aca="false">IF($B15&lt;&gt;1,"",IF(Data!D15="",1,0))</f>
        <v/>
      </c>
      <c r="I15" s="18" t="str">
        <f aca="false">IF($A15="","",IF(AND(Data!J15&lt;&gt;"",ISNUMBER(Data!J15),Data!J15&lt;Settings!$B$2,Data!G15="Active"),1,0))</f>
        <v/>
      </c>
      <c r="J15" s="18" t="str">
        <f aca="false">IF($A15="","",IF($B15&lt;&gt;1,0,(1-N($C15))+(1-N($D15))+(1-N($E15))+N($F15)+N($G15)+N($H15)+N($I15)))</f>
        <v/>
      </c>
    </row>
    <row r="16" customFormat="false" ht="15" hidden="false" customHeight="false" outlineLevel="0" collapsed="false">
      <c r="A16" s="17" t="str">
        <f aca="false">IF(Data!A16="","",Data!A16)</f>
        <v/>
      </c>
      <c r="B16" s="17" t="str">
        <f aca="false">IF($A16="","",IF(Data!G16="Active",1,0))</f>
        <v/>
      </c>
      <c r="C16" s="17" t="str">
        <f aca="false">IF($B16&lt;&gt;1,"",IF(COUNTBLANK(Data!B16:H16)=0,1,0))</f>
        <v/>
      </c>
      <c r="D16" s="17" t="str">
        <f aca="false">IF($B16&lt;&gt;1,"",IF(LEFT(Data!E16,4)="OWN-",1,0))</f>
        <v/>
      </c>
      <c r="E16" s="17" t="str">
        <f aca="false">IF($B16&lt;&gt;1,"",IF(LEFT(Data!F16,4)="OWN-",1,0))</f>
        <v/>
      </c>
      <c r="F16" s="17" t="str">
        <f aca="false">IF($B16&lt;&gt;1,"",IF(OR(Data!I16="",(Settings!$B$2-Data!I16)&gt;Settings!$B$3),1,0))</f>
        <v/>
      </c>
      <c r="G16" s="17" t="str">
        <f aca="false">IF($B16&lt;&gt;1,"",IF(SUMPRODUCT(--($B$2:$B$201=1),--(LEFT(Data!$B$2:$B$201,8)=LEFT(Data!B16,8)))&gt;1,1,0))</f>
        <v/>
      </c>
      <c r="H16" s="17" t="str">
        <f aca="false">IF($B16&lt;&gt;1,"",IF(Data!D16="",1,0))</f>
        <v/>
      </c>
      <c r="I16" s="17" t="str">
        <f aca="false">IF($A16="","",IF(AND(Data!J16&lt;&gt;"",ISNUMBER(Data!J16),Data!J16&lt;Settings!$B$2,Data!G16="Active"),1,0))</f>
        <v/>
      </c>
      <c r="J16" s="17" t="str">
        <f aca="false">IF($A16="","",IF($B16&lt;&gt;1,0,(1-N($C16))+(1-N($D16))+(1-N($E16))+N($F16)+N($G16)+N($H16)+N($I16)))</f>
        <v/>
      </c>
    </row>
    <row r="17" customFormat="false" ht="15" hidden="false" customHeight="false" outlineLevel="0" collapsed="false">
      <c r="A17" s="18" t="str">
        <f aca="false">IF(Data!A17="","",Data!A17)</f>
        <v/>
      </c>
      <c r="B17" s="18" t="str">
        <f aca="false">IF($A17="","",IF(Data!G17="Active",1,0))</f>
        <v/>
      </c>
      <c r="C17" s="18" t="str">
        <f aca="false">IF($B17&lt;&gt;1,"",IF(COUNTBLANK(Data!B17:H17)=0,1,0))</f>
        <v/>
      </c>
      <c r="D17" s="18" t="str">
        <f aca="false">IF($B17&lt;&gt;1,"",IF(LEFT(Data!E17,4)="OWN-",1,0))</f>
        <v/>
      </c>
      <c r="E17" s="18" t="str">
        <f aca="false">IF($B17&lt;&gt;1,"",IF(LEFT(Data!F17,4)="OWN-",1,0))</f>
        <v/>
      </c>
      <c r="F17" s="18" t="str">
        <f aca="false">IF($B17&lt;&gt;1,"",IF(OR(Data!I17="",(Settings!$B$2-Data!I17)&gt;Settings!$B$3),1,0))</f>
        <v/>
      </c>
      <c r="G17" s="18" t="str">
        <f aca="false">IF($B17&lt;&gt;1,"",IF(SUMPRODUCT(--($B$2:$B$201=1),--(LEFT(Data!$B$2:$B$201,8)=LEFT(Data!B17,8)))&gt;1,1,0))</f>
        <v/>
      </c>
      <c r="H17" s="18" t="str">
        <f aca="false">IF($B17&lt;&gt;1,"",IF(Data!D17="",1,0))</f>
        <v/>
      </c>
      <c r="I17" s="18" t="str">
        <f aca="false">IF($A17="","",IF(AND(Data!J17&lt;&gt;"",ISNUMBER(Data!J17),Data!J17&lt;Settings!$B$2,Data!G17="Active"),1,0))</f>
        <v/>
      </c>
      <c r="J17" s="18" t="str">
        <f aca="false">IF($A17="","",IF($B17&lt;&gt;1,0,(1-N($C17))+(1-N($D17))+(1-N($E17))+N($F17)+N($G17)+N($H17)+N($I17)))</f>
        <v/>
      </c>
    </row>
    <row r="18" customFormat="false" ht="15" hidden="false" customHeight="false" outlineLevel="0" collapsed="false">
      <c r="A18" s="17" t="str">
        <f aca="false">IF(Data!A18="","",Data!A18)</f>
        <v/>
      </c>
      <c r="B18" s="17" t="str">
        <f aca="false">IF($A18="","",IF(Data!G18="Active",1,0))</f>
        <v/>
      </c>
      <c r="C18" s="17" t="str">
        <f aca="false">IF($B18&lt;&gt;1,"",IF(COUNTBLANK(Data!B18:H18)=0,1,0))</f>
        <v/>
      </c>
      <c r="D18" s="17" t="str">
        <f aca="false">IF($B18&lt;&gt;1,"",IF(LEFT(Data!E18,4)="OWN-",1,0))</f>
        <v/>
      </c>
      <c r="E18" s="17" t="str">
        <f aca="false">IF($B18&lt;&gt;1,"",IF(LEFT(Data!F18,4)="OWN-",1,0))</f>
        <v/>
      </c>
      <c r="F18" s="17" t="str">
        <f aca="false">IF($B18&lt;&gt;1,"",IF(OR(Data!I18="",(Settings!$B$2-Data!I18)&gt;Settings!$B$3),1,0))</f>
        <v/>
      </c>
      <c r="G18" s="17" t="str">
        <f aca="false">IF($B18&lt;&gt;1,"",IF(SUMPRODUCT(--($B$2:$B$201=1),--(LEFT(Data!$B$2:$B$201,8)=LEFT(Data!B18,8)))&gt;1,1,0))</f>
        <v/>
      </c>
      <c r="H18" s="17" t="str">
        <f aca="false">IF($B18&lt;&gt;1,"",IF(Data!D18="",1,0))</f>
        <v/>
      </c>
      <c r="I18" s="17" t="str">
        <f aca="false">IF($A18="","",IF(AND(Data!J18&lt;&gt;"",ISNUMBER(Data!J18),Data!J18&lt;Settings!$B$2,Data!G18="Active"),1,0))</f>
        <v/>
      </c>
      <c r="J18" s="17" t="str">
        <f aca="false">IF($A18="","",IF($B18&lt;&gt;1,0,(1-N($C18))+(1-N($D18))+(1-N($E18))+N($F18)+N($G18)+N($H18)+N($I18)))</f>
        <v/>
      </c>
    </row>
    <row r="19" customFormat="false" ht="15" hidden="false" customHeight="false" outlineLevel="0" collapsed="false">
      <c r="A19" s="18" t="str">
        <f aca="false">IF(Data!A19="","",Data!A19)</f>
        <v/>
      </c>
      <c r="B19" s="18" t="str">
        <f aca="false">IF($A19="","",IF(Data!G19="Active",1,0))</f>
        <v/>
      </c>
      <c r="C19" s="18" t="str">
        <f aca="false">IF($B19&lt;&gt;1,"",IF(COUNTBLANK(Data!B19:H19)=0,1,0))</f>
        <v/>
      </c>
      <c r="D19" s="18" t="str">
        <f aca="false">IF($B19&lt;&gt;1,"",IF(LEFT(Data!E19,4)="OWN-",1,0))</f>
        <v/>
      </c>
      <c r="E19" s="18" t="str">
        <f aca="false">IF($B19&lt;&gt;1,"",IF(LEFT(Data!F19,4)="OWN-",1,0))</f>
        <v/>
      </c>
      <c r="F19" s="18" t="str">
        <f aca="false">IF($B19&lt;&gt;1,"",IF(OR(Data!I19="",(Settings!$B$2-Data!I19)&gt;Settings!$B$3),1,0))</f>
        <v/>
      </c>
      <c r="G19" s="18" t="str">
        <f aca="false">IF($B19&lt;&gt;1,"",IF(SUMPRODUCT(--($B$2:$B$201=1),--(LEFT(Data!$B$2:$B$201,8)=LEFT(Data!B19,8)))&gt;1,1,0))</f>
        <v/>
      </c>
      <c r="H19" s="18" t="str">
        <f aca="false">IF($B19&lt;&gt;1,"",IF(Data!D19="",1,0))</f>
        <v/>
      </c>
      <c r="I19" s="18" t="str">
        <f aca="false">IF($A19="","",IF(AND(Data!J19&lt;&gt;"",ISNUMBER(Data!J19),Data!J19&lt;Settings!$B$2,Data!G19="Active"),1,0))</f>
        <v/>
      </c>
      <c r="J19" s="18" t="str">
        <f aca="false">IF($A19="","",IF($B19&lt;&gt;1,0,(1-N($C19))+(1-N($D19))+(1-N($E19))+N($F19)+N($G19)+N($H19)+N($I19)))</f>
        <v/>
      </c>
    </row>
    <row r="20" customFormat="false" ht="15" hidden="false" customHeight="false" outlineLevel="0" collapsed="false">
      <c r="A20" s="17" t="str">
        <f aca="false">IF(Data!A20="","",Data!A20)</f>
        <v/>
      </c>
      <c r="B20" s="17" t="str">
        <f aca="false">IF($A20="","",IF(Data!G20="Active",1,0))</f>
        <v/>
      </c>
      <c r="C20" s="17" t="str">
        <f aca="false">IF($B20&lt;&gt;1,"",IF(COUNTBLANK(Data!B20:H20)=0,1,0))</f>
        <v/>
      </c>
      <c r="D20" s="17" t="str">
        <f aca="false">IF($B20&lt;&gt;1,"",IF(LEFT(Data!E20,4)="OWN-",1,0))</f>
        <v/>
      </c>
      <c r="E20" s="17" t="str">
        <f aca="false">IF($B20&lt;&gt;1,"",IF(LEFT(Data!F20,4)="OWN-",1,0))</f>
        <v/>
      </c>
      <c r="F20" s="17" t="str">
        <f aca="false">IF($B20&lt;&gt;1,"",IF(OR(Data!I20="",(Settings!$B$2-Data!I20)&gt;Settings!$B$3),1,0))</f>
        <v/>
      </c>
      <c r="G20" s="17" t="str">
        <f aca="false">IF($B20&lt;&gt;1,"",IF(SUMPRODUCT(--($B$2:$B$201=1),--(LEFT(Data!$B$2:$B$201,8)=LEFT(Data!B20,8)))&gt;1,1,0))</f>
        <v/>
      </c>
      <c r="H20" s="17" t="str">
        <f aca="false">IF($B20&lt;&gt;1,"",IF(Data!D20="",1,0))</f>
        <v/>
      </c>
      <c r="I20" s="17" t="str">
        <f aca="false">IF($A20="","",IF(AND(Data!J20&lt;&gt;"",ISNUMBER(Data!J20),Data!J20&lt;Settings!$B$2,Data!G20="Active"),1,0))</f>
        <v/>
      </c>
      <c r="J20" s="17" t="str">
        <f aca="false">IF($A20="","",IF($B20&lt;&gt;1,0,(1-N($C20))+(1-N($D20))+(1-N($E20))+N($F20)+N($G20)+N($H20)+N($I20)))</f>
        <v/>
      </c>
    </row>
    <row r="21" customFormat="false" ht="15" hidden="false" customHeight="false" outlineLevel="0" collapsed="false">
      <c r="A21" s="18" t="str">
        <f aca="false">IF(Data!A21="","",Data!A21)</f>
        <v/>
      </c>
      <c r="B21" s="18" t="str">
        <f aca="false">IF($A21="","",IF(Data!G21="Active",1,0))</f>
        <v/>
      </c>
      <c r="C21" s="18" t="str">
        <f aca="false">IF($B21&lt;&gt;1,"",IF(COUNTBLANK(Data!B21:H21)=0,1,0))</f>
        <v/>
      </c>
      <c r="D21" s="18" t="str">
        <f aca="false">IF($B21&lt;&gt;1,"",IF(LEFT(Data!E21,4)="OWN-",1,0))</f>
        <v/>
      </c>
      <c r="E21" s="18" t="str">
        <f aca="false">IF($B21&lt;&gt;1,"",IF(LEFT(Data!F21,4)="OWN-",1,0))</f>
        <v/>
      </c>
      <c r="F21" s="18" t="str">
        <f aca="false">IF($B21&lt;&gt;1,"",IF(OR(Data!I21="",(Settings!$B$2-Data!I21)&gt;Settings!$B$3),1,0))</f>
        <v/>
      </c>
      <c r="G21" s="18" t="str">
        <f aca="false">IF($B21&lt;&gt;1,"",IF(SUMPRODUCT(--($B$2:$B$201=1),--(LEFT(Data!$B$2:$B$201,8)=LEFT(Data!B21,8)))&gt;1,1,0))</f>
        <v/>
      </c>
      <c r="H21" s="18" t="str">
        <f aca="false">IF($B21&lt;&gt;1,"",IF(Data!D21="",1,0))</f>
        <v/>
      </c>
      <c r="I21" s="18" t="str">
        <f aca="false">IF($A21="","",IF(AND(Data!J21&lt;&gt;"",ISNUMBER(Data!J21),Data!J21&lt;Settings!$B$2,Data!G21="Active"),1,0))</f>
        <v/>
      </c>
      <c r="J21" s="18" t="str">
        <f aca="false">IF($A21="","",IF($B21&lt;&gt;1,0,(1-N($C21))+(1-N($D21))+(1-N($E21))+N($F21)+N($G21)+N($H21)+N($I21)))</f>
        <v/>
      </c>
    </row>
    <row r="22" customFormat="false" ht="15" hidden="false" customHeight="false" outlineLevel="0" collapsed="false">
      <c r="A22" s="17" t="str">
        <f aca="false">IF(Data!A22="","",Data!A22)</f>
        <v/>
      </c>
      <c r="B22" s="17" t="str">
        <f aca="false">IF($A22="","",IF(Data!G22="Active",1,0))</f>
        <v/>
      </c>
      <c r="C22" s="17" t="str">
        <f aca="false">IF($B22&lt;&gt;1,"",IF(COUNTBLANK(Data!B22:H22)=0,1,0))</f>
        <v/>
      </c>
      <c r="D22" s="17" t="str">
        <f aca="false">IF($B22&lt;&gt;1,"",IF(LEFT(Data!E22,4)="OWN-",1,0))</f>
        <v/>
      </c>
      <c r="E22" s="17" t="str">
        <f aca="false">IF($B22&lt;&gt;1,"",IF(LEFT(Data!F22,4)="OWN-",1,0))</f>
        <v/>
      </c>
      <c r="F22" s="17" t="str">
        <f aca="false">IF($B22&lt;&gt;1,"",IF(OR(Data!I22="",(Settings!$B$2-Data!I22)&gt;Settings!$B$3),1,0))</f>
        <v/>
      </c>
      <c r="G22" s="17" t="str">
        <f aca="false">IF($B22&lt;&gt;1,"",IF(SUMPRODUCT(--($B$2:$B$201=1),--(LEFT(Data!$B$2:$B$201,8)=LEFT(Data!B22,8)))&gt;1,1,0))</f>
        <v/>
      </c>
      <c r="H22" s="17" t="str">
        <f aca="false">IF($B22&lt;&gt;1,"",IF(Data!D22="",1,0))</f>
        <v/>
      </c>
      <c r="I22" s="17" t="str">
        <f aca="false">IF($A22="","",IF(AND(Data!J22&lt;&gt;"",ISNUMBER(Data!J22),Data!J22&lt;Settings!$B$2,Data!G22="Active"),1,0))</f>
        <v/>
      </c>
      <c r="J22" s="17" t="str">
        <f aca="false">IF($A22="","",IF($B22&lt;&gt;1,0,(1-N($C22))+(1-N($D22))+(1-N($E22))+N($F22)+N($G22)+N($H22)+N($I22)))</f>
        <v/>
      </c>
    </row>
    <row r="23" customFormat="false" ht="15" hidden="false" customHeight="false" outlineLevel="0" collapsed="false">
      <c r="A23" s="18" t="str">
        <f aca="false">IF(Data!A23="","",Data!A23)</f>
        <v/>
      </c>
      <c r="B23" s="18" t="str">
        <f aca="false">IF($A23="","",IF(Data!G23="Active",1,0))</f>
        <v/>
      </c>
      <c r="C23" s="18" t="str">
        <f aca="false">IF($B23&lt;&gt;1,"",IF(COUNTBLANK(Data!B23:H23)=0,1,0))</f>
        <v/>
      </c>
      <c r="D23" s="18" t="str">
        <f aca="false">IF($B23&lt;&gt;1,"",IF(LEFT(Data!E23,4)="OWN-",1,0))</f>
        <v/>
      </c>
      <c r="E23" s="18" t="str">
        <f aca="false">IF($B23&lt;&gt;1,"",IF(LEFT(Data!F23,4)="OWN-",1,0))</f>
        <v/>
      </c>
      <c r="F23" s="18" t="str">
        <f aca="false">IF($B23&lt;&gt;1,"",IF(OR(Data!I23="",(Settings!$B$2-Data!I23)&gt;Settings!$B$3),1,0))</f>
        <v/>
      </c>
      <c r="G23" s="18" t="str">
        <f aca="false">IF($B23&lt;&gt;1,"",IF(SUMPRODUCT(--($B$2:$B$201=1),--(LEFT(Data!$B$2:$B$201,8)=LEFT(Data!B23,8)))&gt;1,1,0))</f>
        <v/>
      </c>
      <c r="H23" s="18" t="str">
        <f aca="false">IF($B23&lt;&gt;1,"",IF(Data!D23="",1,0))</f>
        <v/>
      </c>
      <c r="I23" s="18" t="str">
        <f aca="false">IF($A23="","",IF(AND(Data!J23&lt;&gt;"",ISNUMBER(Data!J23),Data!J23&lt;Settings!$B$2,Data!G23="Active"),1,0))</f>
        <v/>
      </c>
      <c r="J23" s="18" t="str">
        <f aca="false">IF($A23="","",IF($B23&lt;&gt;1,0,(1-N($C23))+(1-N($D23))+(1-N($E23))+N($F23)+N($G23)+N($H23)+N($I23)))</f>
        <v/>
      </c>
    </row>
    <row r="24" customFormat="false" ht="15" hidden="false" customHeight="false" outlineLevel="0" collapsed="false">
      <c r="A24" s="17" t="str">
        <f aca="false">IF(Data!A24="","",Data!A24)</f>
        <v/>
      </c>
      <c r="B24" s="17" t="str">
        <f aca="false">IF($A24="","",IF(Data!G24="Active",1,0))</f>
        <v/>
      </c>
      <c r="C24" s="17" t="str">
        <f aca="false">IF($B24&lt;&gt;1,"",IF(COUNTBLANK(Data!B24:H24)=0,1,0))</f>
        <v/>
      </c>
      <c r="D24" s="17" t="str">
        <f aca="false">IF($B24&lt;&gt;1,"",IF(LEFT(Data!E24,4)="OWN-",1,0))</f>
        <v/>
      </c>
      <c r="E24" s="17" t="str">
        <f aca="false">IF($B24&lt;&gt;1,"",IF(LEFT(Data!F24,4)="OWN-",1,0))</f>
        <v/>
      </c>
      <c r="F24" s="17" t="str">
        <f aca="false">IF($B24&lt;&gt;1,"",IF(OR(Data!I24="",(Settings!$B$2-Data!I24)&gt;Settings!$B$3),1,0))</f>
        <v/>
      </c>
      <c r="G24" s="17" t="str">
        <f aca="false">IF($B24&lt;&gt;1,"",IF(SUMPRODUCT(--($B$2:$B$201=1),--(LEFT(Data!$B$2:$B$201,8)=LEFT(Data!B24,8)))&gt;1,1,0))</f>
        <v/>
      </c>
      <c r="H24" s="17" t="str">
        <f aca="false">IF($B24&lt;&gt;1,"",IF(Data!D24="",1,0))</f>
        <v/>
      </c>
      <c r="I24" s="17" t="str">
        <f aca="false">IF($A24="","",IF(AND(Data!J24&lt;&gt;"",ISNUMBER(Data!J24),Data!J24&lt;Settings!$B$2,Data!G24="Active"),1,0))</f>
        <v/>
      </c>
      <c r="J24" s="17" t="str">
        <f aca="false">IF($A24="","",IF($B24&lt;&gt;1,0,(1-N($C24))+(1-N($D24))+(1-N($E24))+N($F24)+N($G24)+N($H24)+N($I24)))</f>
        <v/>
      </c>
    </row>
    <row r="25" customFormat="false" ht="15" hidden="false" customHeight="false" outlineLevel="0" collapsed="false">
      <c r="A25" s="18" t="str">
        <f aca="false">IF(Data!A25="","",Data!A25)</f>
        <v/>
      </c>
      <c r="B25" s="18" t="str">
        <f aca="false">IF($A25="","",IF(Data!G25="Active",1,0))</f>
        <v/>
      </c>
      <c r="C25" s="18" t="str">
        <f aca="false">IF($B25&lt;&gt;1,"",IF(COUNTBLANK(Data!B25:H25)=0,1,0))</f>
        <v/>
      </c>
      <c r="D25" s="18" t="str">
        <f aca="false">IF($B25&lt;&gt;1,"",IF(LEFT(Data!E25,4)="OWN-",1,0))</f>
        <v/>
      </c>
      <c r="E25" s="18" t="str">
        <f aca="false">IF($B25&lt;&gt;1,"",IF(LEFT(Data!F25,4)="OWN-",1,0))</f>
        <v/>
      </c>
      <c r="F25" s="18" t="str">
        <f aca="false">IF($B25&lt;&gt;1,"",IF(OR(Data!I25="",(Settings!$B$2-Data!I25)&gt;Settings!$B$3),1,0))</f>
        <v/>
      </c>
      <c r="G25" s="18" t="str">
        <f aca="false">IF($B25&lt;&gt;1,"",IF(SUMPRODUCT(--($B$2:$B$201=1),--(LEFT(Data!$B$2:$B$201,8)=LEFT(Data!B25,8)))&gt;1,1,0))</f>
        <v/>
      </c>
      <c r="H25" s="18" t="str">
        <f aca="false">IF($B25&lt;&gt;1,"",IF(Data!D25="",1,0))</f>
        <v/>
      </c>
      <c r="I25" s="18" t="str">
        <f aca="false">IF($A25="","",IF(AND(Data!J25&lt;&gt;"",ISNUMBER(Data!J25),Data!J25&lt;Settings!$B$2,Data!G25="Active"),1,0))</f>
        <v/>
      </c>
      <c r="J25" s="18" t="str">
        <f aca="false">IF($A25="","",IF($B25&lt;&gt;1,0,(1-N($C25))+(1-N($D25))+(1-N($E25))+N($F25)+N($G25)+N($H25)+N($I25)))</f>
        <v/>
      </c>
    </row>
    <row r="26" customFormat="false" ht="15" hidden="false" customHeight="false" outlineLevel="0" collapsed="false">
      <c r="A26" s="17" t="str">
        <f aca="false">IF(Data!A26="","",Data!A26)</f>
        <v/>
      </c>
      <c r="B26" s="17" t="str">
        <f aca="false">IF($A26="","",IF(Data!G26="Active",1,0))</f>
        <v/>
      </c>
      <c r="C26" s="17" t="str">
        <f aca="false">IF($B26&lt;&gt;1,"",IF(COUNTBLANK(Data!B26:H26)=0,1,0))</f>
        <v/>
      </c>
      <c r="D26" s="17" t="str">
        <f aca="false">IF($B26&lt;&gt;1,"",IF(LEFT(Data!E26,4)="OWN-",1,0))</f>
        <v/>
      </c>
      <c r="E26" s="17" t="str">
        <f aca="false">IF($B26&lt;&gt;1,"",IF(LEFT(Data!F26,4)="OWN-",1,0))</f>
        <v/>
      </c>
      <c r="F26" s="17" t="str">
        <f aca="false">IF($B26&lt;&gt;1,"",IF(OR(Data!I26="",(Settings!$B$2-Data!I26)&gt;Settings!$B$3),1,0))</f>
        <v/>
      </c>
      <c r="G26" s="17" t="str">
        <f aca="false">IF($B26&lt;&gt;1,"",IF(SUMPRODUCT(--($B$2:$B$201=1),--(LEFT(Data!$B$2:$B$201,8)=LEFT(Data!B26,8)))&gt;1,1,0))</f>
        <v/>
      </c>
      <c r="H26" s="17" t="str">
        <f aca="false">IF($B26&lt;&gt;1,"",IF(Data!D26="",1,0))</f>
        <v/>
      </c>
      <c r="I26" s="17" t="str">
        <f aca="false">IF($A26="","",IF(AND(Data!J26&lt;&gt;"",ISNUMBER(Data!J26),Data!J26&lt;Settings!$B$2,Data!G26="Active"),1,0))</f>
        <v/>
      </c>
      <c r="J26" s="17" t="str">
        <f aca="false">IF($A26="","",IF($B26&lt;&gt;1,0,(1-N($C26))+(1-N($D26))+(1-N($E26))+N($F26)+N($G26)+N($H26)+N($I26)))</f>
        <v/>
      </c>
    </row>
    <row r="27" customFormat="false" ht="15" hidden="false" customHeight="false" outlineLevel="0" collapsed="false">
      <c r="A27" s="18" t="str">
        <f aca="false">IF(Data!A27="","",Data!A27)</f>
        <v/>
      </c>
      <c r="B27" s="18" t="str">
        <f aca="false">IF($A27="","",IF(Data!G27="Active",1,0))</f>
        <v/>
      </c>
      <c r="C27" s="18" t="str">
        <f aca="false">IF($B27&lt;&gt;1,"",IF(COUNTBLANK(Data!B27:H27)=0,1,0))</f>
        <v/>
      </c>
      <c r="D27" s="18" t="str">
        <f aca="false">IF($B27&lt;&gt;1,"",IF(LEFT(Data!E27,4)="OWN-",1,0))</f>
        <v/>
      </c>
      <c r="E27" s="18" t="str">
        <f aca="false">IF($B27&lt;&gt;1,"",IF(LEFT(Data!F27,4)="OWN-",1,0))</f>
        <v/>
      </c>
      <c r="F27" s="18" t="str">
        <f aca="false">IF($B27&lt;&gt;1,"",IF(OR(Data!I27="",(Settings!$B$2-Data!I27)&gt;Settings!$B$3),1,0))</f>
        <v/>
      </c>
      <c r="G27" s="18" t="str">
        <f aca="false">IF($B27&lt;&gt;1,"",IF(SUMPRODUCT(--($B$2:$B$201=1),--(LEFT(Data!$B$2:$B$201,8)=LEFT(Data!B27,8)))&gt;1,1,0))</f>
        <v/>
      </c>
      <c r="H27" s="18" t="str">
        <f aca="false">IF($B27&lt;&gt;1,"",IF(Data!D27="",1,0))</f>
        <v/>
      </c>
      <c r="I27" s="18" t="str">
        <f aca="false">IF($A27="","",IF(AND(Data!J27&lt;&gt;"",ISNUMBER(Data!J27),Data!J27&lt;Settings!$B$2,Data!G27="Active"),1,0))</f>
        <v/>
      </c>
      <c r="J27" s="18" t="str">
        <f aca="false">IF($A27="","",IF($B27&lt;&gt;1,0,(1-N($C27))+(1-N($D27))+(1-N($E27))+N($F27)+N($G27)+N($H27)+N($I27)))</f>
        <v/>
      </c>
    </row>
    <row r="28" customFormat="false" ht="15" hidden="false" customHeight="false" outlineLevel="0" collapsed="false">
      <c r="A28" s="17" t="str">
        <f aca="false">IF(Data!A28="","",Data!A28)</f>
        <v/>
      </c>
      <c r="B28" s="17" t="str">
        <f aca="false">IF($A28="","",IF(Data!G28="Active",1,0))</f>
        <v/>
      </c>
      <c r="C28" s="17" t="str">
        <f aca="false">IF($B28&lt;&gt;1,"",IF(COUNTBLANK(Data!B28:H28)=0,1,0))</f>
        <v/>
      </c>
      <c r="D28" s="17" t="str">
        <f aca="false">IF($B28&lt;&gt;1,"",IF(LEFT(Data!E28,4)="OWN-",1,0))</f>
        <v/>
      </c>
      <c r="E28" s="17" t="str">
        <f aca="false">IF($B28&lt;&gt;1,"",IF(LEFT(Data!F28,4)="OWN-",1,0))</f>
        <v/>
      </c>
      <c r="F28" s="17" t="str">
        <f aca="false">IF($B28&lt;&gt;1,"",IF(OR(Data!I28="",(Settings!$B$2-Data!I28)&gt;Settings!$B$3),1,0))</f>
        <v/>
      </c>
      <c r="G28" s="17" t="str">
        <f aca="false">IF($B28&lt;&gt;1,"",IF(SUMPRODUCT(--($B$2:$B$201=1),--(LEFT(Data!$B$2:$B$201,8)=LEFT(Data!B28,8)))&gt;1,1,0))</f>
        <v/>
      </c>
      <c r="H28" s="17" t="str">
        <f aca="false">IF($B28&lt;&gt;1,"",IF(Data!D28="",1,0))</f>
        <v/>
      </c>
      <c r="I28" s="17" t="str">
        <f aca="false">IF($A28="","",IF(AND(Data!J28&lt;&gt;"",ISNUMBER(Data!J28),Data!J28&lt;Settings!$B$2,Data!G28="Active"),1,0))</f>
        <v/>
      </c>
      <c r="J28" s="17" t="str">
        <f aca="false">IF($A28="","",IF($B28&lt;&gt;1,0,(1-N($C28))+(1-N($D28))+(1-N($E28))+N($F28)+N($G28)+N($H28)+N($I28)))</f>
        <v/>
      </c>
    </row>
    <row r="29" customFormat="false" ht="15" hidden="false" customHeight="false" outlineLevel="0" collapsed="false">
      <c r="A29" s="18" t="str">
        <f aca="false">IF(Data!A29="","",Data!A29)</f>
        <v/>
      </c>
      <c r="B29" s="18" t="str">
        <f aca="false">IF($A29="","",IF(Data!G29="Active",1,0))</f>
        <v/>
      </c>
      <c r="C29" s="18" t="str">
        <f aca="false">IF($B29&lt;&gt;1,"",IF(COUNTBLANK(Data!B29:H29)=0,1,0))</f>
        <v/>
      </c>
      <c r="D29" s="18" t="str">
        <f aca="false">IF($B29&lt;&gt;1,"",IF(LEFT(Data!E29,4)="OWN-",1,0))</f>
        <v/>
      </c>
      <c r="E29" s="18" t="str">
        <f aca="false">IF($B29&lt;&gt;1,"",IF(LEFT(Data!F29,4)="OWN-",1,0))</f>
        <v/>
      </c>
      <c r="F29" s="18" t="str">
        <f aca="false">IF($B29&lt;&gt;1,"",IF(OR(Data!I29="",(Settings!$B$2-Data!I29)&gt;Settings!$B$3),1,0))</f>
        <v/>
      </c>
      <c r="G29" s="18" t="str">
        <f aca="false">IF($B29&lt;&gt;1,"",IF(SUMPRODUCT(--($B$2:$B$201=1),--(LEFT(Data!$B$2:$B$201,8)=LEFT(Data!B29,8)))&gt;1,1,0))</f>
        <v/>
      </c>
      <c r="H29" s="18" t="str">
        <f aca="false">IF($B29&lt;&gt;1,"",IF(Data!D29="",1,0))</f>
        <v/>
      </c>
      <c r="I29" s="18" t="str">
        <f aca="false">IF($A29="","",IF(AND(Data!J29&lt;&gt;"",ISNUMBER(Data!J29),Data!J29&lt;Settings!$B$2,Data!G29="Active"),1,0))</f>
        <v/>
      </c>
      <c r="J29" s="18" t="str">
        <f aca="false">IF($A29="","",IF($B29&lt;&gt;1,0,(1-N($C29))+(1-N($D29))+(1-N($E29))+N($F29)+N($G29)+N($H29)+N($I29)))</f>
        <v/>
      </c>
    </row>
    <row r="30" customFormat="false" ht="15" hidden="false" customHeight="false" outlineLevel="0" collapsed="false">
      <c r="A30" s="17" t="str">
        <f aca="false">IF(Data!A30="","",Data!A30)</f>
        <v/>
      </c>
      <c r="B30" s="17" t="str">
        <f aca="false">IF($A30="","",IF(Data!G30="Active",1,0))</f>
        <v/>
      </c>
      <c r="C30" s="17" t="str">
        <f aca="false">IF($B30&lt;&gt;1,"",IF(COUNTBLANK(Data!B30:H30)=0,1,0))</f>
        <v/>
      </c>
      <c r="D30" s="17" t="str">
        <f aca="false">IF($B30&lt;&gt;1,"",IF(LEFT(Data!E30,4)="OWN-",1,0))</f>
        <v/>
      </c>
      <c r="E30" s="17" t="str">
        <f aca="false">IF($B30&lt;&gt;1,"",IF(LEFT(Data!F30,4)="OWN-",1,0))</f>
        <v/>
      </c>
      <c r="F30" s="17" t="str">
        <f aca="false">IF($B30&lt;&gt;1,"",IF(OR(Data!I30="",(Settings!$B$2-Data!I30)&gt;Settings!$B$3),1,0))</f>
        <v/>
      </c>
      <c r="G30" s="17" t="str">
        <f aca="false">IF($B30&lt;&gt;1,"",IF(SUMPRODUCT(--($B$2:$B$201=1),--(LEFT(Data!$B$2:$B$201,8)=LEFT(Data!B30,8)))&gt;1,1,0))</f>
        <v/>
      </c>
      <c r="H30" s="17" t="str">
        <f aca="false">IF($B30&lt;&gt;1,"",IF(Data!D30="",1,0))</f>
        <v/>
      </c>
      <c r="I30" s="17" t="str">
        <f aca="false">IF($A30="","",IF(AND(Data!J30&lt;&gt;"",ISNUMBER(Data!J30),Data!J30&lt;Settings!$B$2,Data!G30="Active"),1,0))</f>
        <v/>
      </c>
      <c r="J30" s="17" t="str">
        <f aca="false">IF($A30="","",IF($B30&lt;&gt;1,0,(1-N($C30))+(1-N($D30))+(1-N($E30))+N($F30)+N($G30)+N($H30)+N($I30)))</f>
        <v/>
      </c>
    </row>
    <row r="31" customFormat="false" ht="15" hidden="false" customHeight="false" outlineLevel="0" collapsed="false">
      <c r="A31" s="18" t="str">
        <f aca="false">IF(Data!A31="","",Data!A31)</f>
        <v/>
      </c>
      <c r="B31" s="18" t="str">
        <f aca="false">IF($A31="","",IF(Data!G31="Active",1,0))</f>
        <v/>
      </c>
      <c r="C31" s="18" t="str">
        <f aca="false">IF($B31&lt;&gt;1,"",IF(COUNTBLANK(Data!B31:H31)=0,1,0))</f>
        <v/>
      </c>
      <c r="D31" s="18" t="str">
        <f aca="false">IF($B31&lt;&gt;1,"",IF(LEFT(Data!E31,4)="OWN-",1,0))</f>
        <v/>
      </c>
      <c r="E31" s="18" t="str">
        <f aca="false">IF($B31&lt;&gt;1,"",IF(LEFT(Data!F31,4)="OWN-",1,0))</f>
        <v/>
      </c>
      <c r="F31" s="18" t="str">
        <f aca="false">IF($B31&lt;&gt;1,"",IF(OR(Data!I31="",(Settings!$B$2-Data!I31)&gt;Settings!$B$3),1,0))</f>
        <v/>
      </c>
      <c r="G31" s="18" t="str">
        <f aca="false">IF($B31&lt;&gt;1,"",IF(SUMPRODUCT(--($B$2:$B$201=1),--(LEFT(Data!$B$2:$B$201,8)=LEFT(Data!B31,8)))&gt;1,1,0))</f>
        <v/>
      </c>
      <c r="H31" s="18" t="str">
        <f aca="false">IF($B31&lt;&gt;1,"",IF(Data!D31="",1,0))</f>
        <v/>
      </c>
      <c r="I31" s="18" t="str">
        <f aca="false">IF($A31="","",IF(AND(Data!J31&lt;&gt;"",ISNUMBER(Data!J31),Data!J31&lt;Settings!$B$2,Data!G31="Active"),1,0))</f>
        <v/>
      </c>
      <c r="J31" s="18" t="str">
        <f aca="false">IF($A31="","",IF($B31&lt;&gt;1,0,(1-N($C31))+(1-N($D31))+(1-N($E31))+N($F31)+N($G31)+N($H31)+N($I31)))</f>
        <v/>
      </c>
    </row>
    <row r="32" customFormat="false" ht="15" hidden="false" customHeight="false" outlineLevel="0" collapsed="false">
      <c r="A32" s="17" t="str">
        <f aca="false">IF(Data!A32="","",Data!A32)</f>
        <v/>
      </c>
      <c r="B32" s="17" t="str">
        <f aca="false">IF($A32="","",IF(Data!G32="Active",1,0))</f>
        <v/>
      </c>
      <c r="C32" s="17" t="str">
        <f aca="false">IF($B32&lt;&gt;1,"",IF(COUNTBLANK(Data!B32:H32)=0,1,0))</f>
        <v/>
      </c>
      <c r="D32" s="17" t="str">
        <f aca="false">IF($B32&lt;&gt;1,"",IF(LEFT(Data!E32,4)="OWN-",1,0))</f>
        <v/>
      </c>
      <c r="E32" s="17" t="str">
        <f aca="false">IF($B32&lt;&gt;1,"",IF(LEFT(Data!F32,4)="OWN-",1,0))</f>
        <v/>
      </c>
      <c r="F32" s="17" t="str">
        <f aca="false">IF($B32&lt;&gt;1,"",IF(OR(Data!I32="",(Settings!$B$2-Data!I32)&gt;Settings!$B$3),1,0))</f>
        <v/>
      </c>
      <c r="G32" s="17" t="str">
        <f aca="false">IF($B32&lt;&gt;1,"",IF(SUMPRODUCT(--($B$2:$B$201=1),--(LEFT(Data!$B$2:$B$201,8)=LEFT(Data!B32,8)))&gt;1,1,0))</f>
        <v/>
      </c>
      <c r="H32" s="17" t="str">
        <f aca="false">IF($B32&lt;&gt;1,"",IF(Data!D32="",1,0))</f>
        <v/>
      </c>
      <c r="I32" s="17" t="str">
        <f aca="false">IF($A32="","",IF(AND(Data!J32&lt;&gt;"",ISNUMBER(Data!J32),Data!J32&lt;Settings!$B$2,Data!G32="Active"),1,0))</f>
        <v/>
      </c>
      <c r="J32" s="17" t="str">
        <f aca="false">IF($A32="","",IF($B32&lt;&gt;1,0,(1-N($C32))+(1-N($D32))+(1-N($E32))+N($F32)+N($G32)+N($H32)+N($I32)))</f>
        <v/>
      </c>
    </row>
    <row r="33" customFormat="false" ht="15" hidden="false" customHeight="false" outlineLevel="0" collapsed="false">
      <c r="A33" s="18" t="str">
        <f aca="false">IF(Data!A33="","",Data!A33)</f>
        <v/>
      </c>
      <c r="B33" s="18" t="str">
        <f aca="false">IF($A33="","",IF(Data!G33="Active",1,0))</f>
        <v/>
      </c>
      <c r="C33" s="18" t="str">
        <f aca="false">IF($B33&lt;&gt;1,"",IF(COUNTBLANK(Data!B33:H33)=0,1,0))</f>
        <v/>
      </c>
      <c r="D33" s="18" t="str">
        <f aca="false">IF($B33&lt;&gt;1,"",IF(LEFT(Data!E33,4)="OWN-",1,0))</f>
        <v/>
      </c>
      <c r="E33" s="18" t="str">
        <f aca="false">IF($B33&lt;&gt;1,"",IF(LEFT(Data!F33,4)="OWN-",1,0))</f>
        <v/>
      </c>
      <c r="F33" s="18" t="str">
        <f aca="false">IF($B33&lt;&gt;1,"",IF(OR(Data!I33="",(Settings!$B$2-Data!I33)&gt;Settings!$B$3),1,0))</f>
        <v/>
      </c>
      <c r="G33" s="18" t="str">
        <f aca="false">IF($B33&lt;&gt;1,"",IF(SUMPRODUCT(--($B$2:$B$201=1),--(LEFT(Data!$B$2:$B$201,8)=LEFT(Data!B33,8)))&gt;1,1,0))</f>
        <v/>
      </c>
      <c r="H33" s="18" t="str">
        <f aca="false">IF($B33&lt;&gt;1,"",IF(Data!D33="",1,0))</f>
        <v/>
      </c>
      <c r="I33" s="18" t="str">
        <f aca="false">IF($A33="","",IF(AND(Data!J33&lt;&gt;"",ISNUMBER(Data!J33),Data!J33&lt;Settings!$B$2,Data!G33="Active"),1,0))</f>
        <v/>
      </c>
      <c r="J33" s="18" t="str">
        <f aca="false">IF($A33="","",IF($B33&lt;&gt;1,0,(1-N($C33))+(1-N($D33))+(1-N($E33))+N($F33)+N($G33)+N($H33)+N($I33)))</f>
        <v/>
      </c>
    </row>
    <row r="34" customFormat="false" ht="15" hidden="false" customHeight="false" outlineLevel="0" collapsed="false">
      <c r="A34" s="17" t="str">
        <f aca="false">IF(Data!A34="","",Data!A34)</f>
        <v/>
      </c>
      <c r="B34" s="17" t="str">
        <f aca="false">IF($A34="","",IF(Data!G34="Active",1,0))</f>
        <v/>
      </c>
      <c r="C34" s="17" t="str">
        <f aca="false">IF($B34&lt;&gt;1,"",IF(COUNTBLANK(Data!B34:H34)=0,1,0))</f>
        <v/>
      </c>
      <c r="D34" s="17" t="str">
        <f aca="false">IF($B34&lt;&gt;1,"",IF(LEFT(Data!E34,4)="OWN-",1,0))</f>
        <v/>
      </c>
      <c r="E34" s="17" t="str">
        <f aca="false">IF($B34&lt;&gt;1,"",IF(LEFT(Data!F34,4)="OWN-",1,0))</f>
        <v/>
      </c>
      <c r="F34" s="17" t="str">
        <f aca="false">IF($B34&lt;&gt;1,"",IF(OR(Data!I34="",(Settings!$B$2-Data!I34)&gt;Settings!$B$3),1,0))</f>
        <v/>
      </c>
      <c r="G34" s="17" t="str">
        <f aca="false">IF($B34&lt;&gt;1,"",IF(SUMPRODUCT(--($B$2:$B$201=1),--(LEFT(Data!$B$2:$B$201,8)=LEFT(Data!B34,8)))&gt;1,1,0))</f>
        <v/>
      </c>
      <c r="H34" s="17" t="str">
        <f aca="false">IF($B34&lt;&gt;1,"",IF(Data!D34="",1,0))</f>
        <v/>
      </c>
      <c r="I34" s="17" t="str">
        <f aca="false">IF($A34="","",IF(AND(Data!J34&lt;&gt;"",ISNUMBER(Data!J34),Data!J34&lt;Settings!$B$2,Data!G34="Active"),1,0))</f>
        <v/>
      </c>
      <c r="J34" s="17" t="str">
        <f aca="false">IF($A34="","",IF($B34&lt;&gt;1,0,(1-N($C34))+(1-N($D34))+(1-N($E34))+N($F34)+N($G34)+N($H34)+N($I34)))</f>
        <v/>
      </c>
    </row>
    <row r="35" customFormat="false" ht="15" hidden="false" customHeight="false" outlineLevel="0" collapsed="false">
      <c r="A35" s="18" t="str">
        <f aca="false">IF(Data!A35="","",Data!A35)</f>
        <v/>
      </c>
      <c r="B35" s="18" t="str">
        <f aca="false">IF($A35="","",IF(Data!G35="Active",1,0))</f>
        <v/>
      </c>
      <c r="C35" s="18" t="str">
        <f aca="false">IF($B35&lt;&gt;1,"",IF(COUNTBLANK(Data!B35:H35)=0,1,0))</f>
        <v/>
      </c>
      <c r="D35" s="18" t="str">
        <f aca="false">IF($B35&lt;&gt;1,"",IF(LEFT(Data!E35,4)="OWN-",1,0))</f>
        <v/>
      </c>
      <c r="E35" s="18" t="str">
        <f aca="false">IF($B35&lt;&gt;1,"",IF(LEFT(Data!F35,4)="OWN-",1,0))</f>
        <v/>
      </c>
      <c r="F35" s="18" t="str">
        <f aca="false">IF($B35&lt;&gt;1,"",IF(OR(Data!I35="",(Settings!$B$2-Data!I35)&gt;Settings!$B$3),1,0))</f>
        <v/>
      </c>
      <c r="G35" s="18" t="str">
        <f aca="false">IF($B35&lt;&gt;1,"",IF(SUMPRODUCT(--($B$2:$B$201=1),--(LEFT(Data!$B$2:$B$201,8)=LEFT(Data!B35,8)))&gt;1,1,0))</f>
        <v/>
      </c>
      <c r="H35" s="18" t="str">
        <f aca="false">IF($B35&lt;&gt;1,"",IF(Data!D35="",1,0))</f>
        <v/>
      </c>
      <c r="I35" s="18" t="str">
        <f aca="false">IF($A35="","",IF(AND(Data!J35&lt;&gt;"",ISNUMBER(Data!J35),Data!J35&lt;Settings!$B$2,Data!G35="Active"),1,0))</f>
        <v/>
      </c>
      <c r="J35" s="18" t="str">
        <f aca="false">IF($A35="","",IF($B35&lt;&gt;1,0,(1-N($C35))+(1-N($D35))+(1-N($E35))+N($F35)+N($G35)+N($H35)+N($I35)))</f>
        <v/>
      </c>
    </row>
    <row r="36" customFormat="false" ht="15" hidden="false" customHeight="false" outlineLevel="0" collapsed="false">
      <c r="A36" s="17" t="str">
        <f aca="false">IF(Data!A36="","",Data!A36)</f>
        <v/>
      </c>
      <c r="B36" s="17" t="str">
        <f aca="false">IF($A36="","",IF(Data!G36="Active",1,0))</f>
        <v/>
      </c>
      <c r="C36" s="17" t="str">
        <f aca="false">IF($B36&lt;&gt;1,"",IF(COUNTBLANK(Data!B36:H36)=0,1,0))</f>
        <v/>
      </c>
      <c r="D36" s="17" t="str">
        <f aca="false">IF($B36&lt;&gt;1,"",IF(LEFT(Data!E36,4)="OWN-",1,0))</f>
        <v/>
      </c>
      <c r="E36" s="17" t="str">
        <f aca="false">IF($B36&lt;&gt;1,"",IF(LEFT(Data!F36,4)="OWN-",1,0))</f>
        <v/>
      </c>
      <c r="F36" s="17" t="str">
        <f aca="false">IF($B36&lt;&gt;1,"",IF(OR(Data!I36="",(Settings!$B$2-Data!I36)&gt;Settings!$B$3),1,0))</f>
        <v/>
      </c>
      <c r="G36" s="17" t="str">
        <f aca="false">IF($B36&lt;&gt;1,"",IF(SUMPRODUCT(--($B$2:$B$201=1),--(LEFT(Data!$B$2:$B$201,8)=LEFT(Data!B36,8)))&gt;1,1,0))</f>
        <v/>
      </c>
      <c r="H36" s="17" t="str">
        <f aca="false">IF($B36&lt;&gt;1,"",IF(Data!D36="",1,0))</f>
        <v/>
      </c>
      <c r="I36" s="17" t="str">
        <f aca="false">IF($A36="","",IF(AND(Data!J36&lt;&gt;"",ISNUMBER(Data!J36),Data!J36&lt;Settings!$B$2,Data!G36="Active"),1,0))</f>
        <v/>
      </c>
      <c r="J36" s="17" t="str">
        <f aca="false">IF($A36="","",IF($B36&lt;&gt;1,0,(1-N($C36))+(1-N($D36))+(1-N($E36))+N($F36)+N($G36)+N($H36)+N($I36)))</f>
        <v/>
      </c>
    </row>
    <row r="37" customFormat="false" ht="15" hidden="false" customHeight="false" outlineLevel="0" collapsed="false">
      <c r="A37" s="18" t="str">
        <f aca="false">IF(Data!A37="","",Data!A37)</f>
        <v/>
      </c>
      <c r="B37" s="18" t="str">
        <f aca="false">IF($A37="","",IF(Data!G37="Active",1,0))</f>
        <v/>
      </c>
      <c r="C37" s="18" t="str">
        <f aca="false">IF($B37&lt;&gt;1,"",IF(COUNTBLANK(Data!B37:H37)=0,1,0))</f>
        <v/>
      </c>
      <c r="D37" s="18" t="str">
        <f aca="false">IF($B37&lt;&gt;1,"",IF(LEFT(Data!E37,4)="OWN-",1,0))</f>
        <v/>
      </c>
      <c r="E37" s="18" t="str">
        <f aca="false">IF($B37&lt;&gt;1,"",IF(LEFT(Data!F37,4)="OWN-",1,0))</f>
        <v/>
      </c>
      <c r="F37" s="18" t="str">
        <f aca="false">IF($B37&lt;&gt;1,"",IF(OR(Data!I37="",(Settings!$B$2-Data!I37)&gt;Settings!$B$3),1,0))</f>
        <v/>
      </c>
      <c r="G37" s="18" t="str">
        <f aca="false">IF($B37&lt;&gt;1,"",IF(SUMPRODUCT(--($B$2:$B$201=1),--(LEFT(Data!$B$2:$B$201,8)=LEFT(Data!B37,8)))&gt;1,1,0))</f>
        <v/>
      </c>
      <c r="H37" s="18" t="str">
        <f aca="false">IF($B37&lt;&gt;1,"",IF(Data!D37="",1,0))</f>
        <v/>
      </c>
      <c r="I37" s="18" t="str">
        <f aca="false">IF($A37="","",IF(AND(Data!J37&lt;&gt;"",ISNUMBER(Data!J37),Data!J37&lt;Settings!$B$2,Data!G37="Active"),1,0))</f>
        <v/>
      </c>
      <c r="J37" s="18" t="str">
        <f aca="false">IF($A37="","",IF($B37&lt;&gt;1,0,(1-N($C37))+(1-N($D37))+(1-N($E37))+N($F37)+N($G37)+N($H37)+N($I37)))</f>
        <v/>
      </c>
    </row>
    <row r="38" customFormat="false" ht="15" hidden="false" customHeight="false" outlineLevel="0" collapsed="false">
      <c r="A38" s="17" t="str">
        <f aca="false">IF(Data!A38="","",Data!A38)</f>
        <v/>
      </c>
      <c r="B38" s="17" t="str">
        <f aca="false">IF($A38="","",IF(Data!G38="Active",1,0))</f>
        <v/>
      </c>
      <c r="C38" s="17" t="str">
        <f aca="false">IF($B38&lt;&gt;1,"",IF(COUNTBLANK(Data!B38:H38)=0,1,0))</f>
        <v/>
      </c>
      <c r="D38" s="17" t="str">
        <f aca="false">IF($B38&lt;&gt;1,"",IF(LEFT(Data!E38,4)="OWN-",1,0))</f>
        <v/>
      </c>
      <c r="E38" s="17" t="str">
        <f aca="false">IF($B38&lt;&gt;1,"",IF(LEFT(Data!F38,4)="OWN-",1,0))</f>
        <v/>
      </c>
      <c r="F38" s="17" t="str">
        <f aca="false">IF($B38&lt;&gt;1,"",IF(OR(Data!I38="",(Settings!$B$2-Data!I38)&gt;Settings!$B$3),1,0))</f>
        <v/>
      </c>
      <c r="G38" s="17" t="str">
        <f aca="false">IF($B38&lt;&gt;1,"",IF(SUMPRODUCT(--($B$2:$B$201=1),--(LEFT(Data!$B$2:$B$201,8)=LEFT(Data!B38,8)))&gt;1,1,0))</f>
        <v/>
      </c>
      <c r="H38" s="17" t="str">
        <f aca="false">IF($B38&lt;&gt;1,"",IF(Data!D38="",1,0))</f>
        <v/>
      </c>
      <c r="I38" s="17" t="str">
        <f aca="false">IF($A38="","",IF(AND(Data!J38&lt;&gt;"",ISNUMBER(Data!J38),Data!J38&lt;Settings!$B$2,Data!G38="Active"),1,0))</f>
        <v/>
      </c>
      <c r="J38" s="17" t="str">
        <f aca="false">IF($A38="","",IF($B38&lt;&gt;1,0,(1-N($C38))+(1-N($D38))+(1-N($E38))+N($F38)+N($G38)+N($H38)+N($I38)))</f>
        <v/>
      </c>
    </row>
    <row r="39" customFormat="false" ht="15" hidden="false" customHeight="false" outlineLevel="0" collapsed="false">
      <c r="A39" s="18" t="str">
        <f aca="false">IF(Data!A39="","",Data!A39)</f>
        <v/>
      </c>
      <c r="B39" s="18" t="str">
        <f aca="false">IF($A39="","",IF(Data!G39="Active",1,0))</f>
        <v/>
      </c>
      <c r="C39" s="18" t="str">
        <f aca="false">IF($B39&lt;&gt;1,"",IF(COUNTBLANK(Data!B39:H39)=0,1,0))</f>
        <v/>
      </c>
      <c r="D39" s="18" t="str">
        <f aca="false">IF($B39&lt;&gt;1,"",IF(LEFT(Data!E39,4)="OWN-",1,0))</f>
        <v/>
      </c>
      <c r="E39" s="18" t="str">
        <f aca="false">IF($B39&lt;&gt;1,"",IF(LEFT(Data!F39,4)="OWN-",1,0))</f>
        <v/>
      </c>
      <c r="F39" s="18" t="str">
        <f aca="false">IF($B39&lt;&gt;1,"",IF(OR(Data!I39="",(Settings!$B$2-Data!I39)&gt;Settings!$B$3),1,0))</f>
        <v/>
      </c>
      <c r="G39" s="18" t="str">
        <f aca="false">IF($B39&lt;&gt;1,"",IF(SUMPRODUCT(--($B$2:$B$201=1),--(LEFT(Data!$B$2:$B$201,8)=LEFT(Data!B39,8)))&gt;1,1,0))</f>
        <v/>
      </c>
      <c r="H39" s="18" t="str">
        <f aca="false">IF($B39&lt;&gt;1,"",IF(Data!D39="",1,0))</f>
        <v/>
      </c>
      <c r="I39" s="18" t="str">
        <f aca="false">IF($A39="","",IF(AND(Data!J39&lt;&gt;"",ISNUMBER(Data!J39),Data!J39&lt;Settings!$B$2,Data!G39="Active"),1,0))</f>
        <v/>
      </c>
      <c r="J39" s="18" t="str">
        <f aca="false">IF($A39="","",IF($B39&lt;&gt;1,0,(1-N($C39))+(1-N($D39))+(1-N($E39))+N($F39)+N($G39)+N($H39)+N($I39)))</f>
        <v/>
      </c>
    </row>
    <row r="40" customFormat="false" ht="15" hidden="false" customHeight="false" outlineLevel="0" collapsed="false">
      <c r="A40" s="17" t="str">
        <f aca="false">IF(Data!A40="","",Data!A40)</f>
        <v/>
      </c>
      <c r="B40" s="17" t="str">
        <f aca="false">IF($A40="","",IF(Data!G40="Active",1,0))</f>
        <v/>
      </c>
      <c r="C40" s="17" t="str">
        <f aca="false">IF($B40&lt;&gt;1,"",IF(COUNTBLANK(Data!B40:H40)=0,1,0))</f>
        <v/>
      </c>
      <c r="D40" s="17" t="str">
        <f aca="false">IF($B40&lt;&gt;1,"",IF(LEFT(Data!E40,4)="OWN-",1,0))</f>
        <v/>
      </c>
      <c r="E40" s="17" t="str">
        <f aca="false">IF($B40&lt;&gt;1,"",IF(LEFT(Data!F40,4)="OWN-",1,0))</f>
        <v/>
      </c>
      <c r="F40" s="17" t="str">
        <f aca="false">IF($B40&lt;&gt;1,"",IF(OR(Data!I40="",(Settings!$B$2-Data!I40)&gt;Settings!$B$3),1,0))</f>
        <v/>
      </c>
      <c r="G40" s="17" t="str">
        <f aca="false">IF($B40&lt;&gt;1,"",IF(SUMPRODUCT(--($B$2:$B$201=1),--(LEFT(Data!$B$2:$B$201,8)=LEFT(Data!B40,8)))&gt;1,1,0))</f>
        <v/>
      </c>
      <c r="H40" s="17" t="str">
        <f aca="false">IF($B40&lt;&gt;1,"",IF(Data!D40="",1,0))</f>
        <v/>
      </c>
      <c r="I40" s="17" t="str">
        <f aca="false">IF($A40="","",IF(AND(Data!J40&lt;&gt;"",ISNUMBER(Data!J40),Data!J40&lt;Settings!$B$2,Data!G40="Active"),1,0))</f>
        <v/>
      </c>
      <c r="J40" s="17" t="str">
        <f aca="false">IF($A40="","",IF($B40&lt;&gt;1,0,(1-N($C40))+(1-N($D40))+(1-N($E40))+N($F40)+N($G40)+N($H40)+N($I40)))</f>
        <v/>
      </c>
    </row>
    <row r="41" customFormat="false" ht="15" hidden="false" customHeight="false" outlineLevel="0" collapsed="false">
      <c r="A41" s="18" t="str">
        <f aca="false">IF(Data!A41="","",Data!A41)</f>
        <v/>
      </c>
      <c r="B41" s="18" t="str">
        <f aca="false">IF($A41="","",IF(Data!G41="Active",1,0))</f>
        <v/>
      </c>
      <c r="C41" s="18" t="str">
        <f aca="false">IF($B41&lt;&gt;1,"",IF(COUNTBLANK(Data!B41:H41)=0,1,0))</f>
        <v/>
      </c>
      <c r="D41" s="18" t="str">
        <f aca="false">IF($B41&lt;&gt;1,"",IF(LEFT(Data!E41,4)="OWN-",1,0))</f>
        <v/>
      </c>
      <c r="E41" s="18" t="str">
        <f aca="false">IF($B41&lt;&gt;1,"",IF(LEFT(Data!F41,4)="OWN-",1,0))</f>
        <v/>
      </c>
      <c r="F41" s="18" t="str">
        <f aca="false">IF($B41&lt;&gt;1,"",IF(OR(Data!I41="",(Settings!$B$2-Data!I41)&gt;Settings!$B$3),1,0))</f>
        <v/>
      </c>
      <c r="G41" s="18" t="str">
        <f aca="false">IF($B41&lt;&gt;1,"",IF(SUMPRODUCT(--($B$2:$B$201=1),--(LEFT(Data!$B$2:$B$201,8)=LEFT(Data!B41,8)))&gt;1,1,0))</f>
        <v/>
      </c>
      <c r="H41" s="18" t="str">
        <f aca="false">IF($B41&lt;&gt;1,"",IF(Data!D41="",1,0))</f>
        <v/>
      </c>
      <c r="I41" s="18" t="str">
        <f aca="false">IF($A41="","",IF(AND(Data!J41&lt;&gt;"",ISNUMBER(Data!J41),Data!J41&lt;Settings!$B$2,Data!G41="Active"),1,0))</f>
        <v/>
      </c>
      <c r="J41" s="18" t="str">
        <f aca="false">IF($A41="","",IF($B41&lt;&gt;1,0,(1-N($C41))+(1-N($D41))+(1-N($E41))+N($F41)+N($G41)+N($H41)+N($I41)))</f>
        <v/>
      </c>
    </row>
    <row r="42" customFormat="false" ht="15" hidden="false" customHeight="false" outlineLevel="0" collapsed="false">
      <c r="A42" s="17" t="str">
        <f aca="false">IF(Data!A42="","",Data!A42)</f>
        <v/>
      </c>
      <c r="B42" s="17" t="str">
        <f aca="false">IF($A42="","",IF(Data!G42="Active",1,0))</f>
        <v/>
      </c>
      <c r="C42" s="17" t="str">
        <f aca="false">IF($B42&lt;&gt;1,"",IF(COUNTBLANK(Data!B42:H42)=0,1,0))</f>
        <v/>
      </c>
      <c r="D42" s="17" t="str">
        <f aca="false">IF($B42&lt;&gt;1,"",IF(LEFT(Data!E42,4)="OWN-",1,0))</f>
        <v/>
      </c>
      <c r="E42" s="17" t="str">
        <f aca="false">IF($B42&lt;&gt;1,"",IF(LEFT(Data!F42,4)="OWN-",1,0))</f>
        <v/>
      </c>
      <c r="F42" s="17" t="str">
        <f aca="false">IF($B42&lt;&gt;1,"",IF(OR(Data!I42="",(Settings!$B$2-Data!I42)&gt;Settings!$B$3),1,0))</f>
        <v/>
      </c>
      <c r="G42" s="17" t="str">
        <f aca="false">IF($B42&lt;&gt;1,"",IF(SUMPRODUCT(--($B$2:$B$201=1),--(LEFT(Data!$B$2:$B$201,8)=LEFT(Data!B42,8)))&gt;1,1,0))</f>
        <v/>
      </c>
      <c r="H42" s="17" t="str">
        <f aca="false">IF($B42&lt;&gt;1,"",IF(Data!D42="",1,0))</f>
        <v/>
      </c>
      <c r="I42" s="17" t="str">
        <f aca="false">IF($A42="","",IF(AND(Data!J42&lt;&gt;"",ISNUMBER(Data!J42),Data!J42&lt;Settings!$B$2,Data!G42="Active"),1,0))</f>
        <v/>
      </c>
      <c r="J42" s="17" t="str">
        <f aca="false">IF($A42="","",IF($B42&lt;&gt;1,0,(1-N($C42))+(1-N($D42))+(1-N($E42))+N($F42)+N($G42)+N($H42)+N($I42)))</f>
        <v/>
      </c>
    </row>
    <row r="43" customFormat="false" ht="15" hidden="false" customHeight="false" outlineLevel="0" collapsed="false">
      <c r="A43" s="18" t="str">
        <f aca="false">IF(Data!A43="","",Data!A43)</f>
        <v/>
      </c>
      <c r="B43" s="18" t="str">
        <f aca="false">IF($A43="","",IF(Data!G43="Active",1,0))</f>
        <v/>
      </c>
      <c r="C43" s="18" t="str">
        <f aca="false">IF($B43&lt;&gt;1,"",IF(COUNTBLANK(Data!B43:H43)=0,1,0))</f>
        <v/>
      </c>
      <c r="D43" s="18" t="str">
        <f aca="false">IF($B43&lt;&gt;1,"",IF(LEFT(Data!E43,4)="OWN-",1,0))</f>
        <v/>
      </c>
      <c r="E43" s="18" t="str">
        <f aca="false">IF($B43&lt;&gt;1,"",IF(LEFT(Data!F43,4)="OWN-",1,0))</f>
        <v/>
      </c>
      <c r="F43" s="18" t="str">
        <f aca="false">IF($B43&lt;&gt;1,"",IF(OR(Data!I43="",(Settings!$B$2-Data!I43)&gt;Settings!$B$3),1,0))</f>
        <v/>
      </c>
      <c r="G43" s="18" t="str">
        <f aca="false">IF($B43&lt;&gt;1,"",IF(SUMPRODUCT(--($B$2:$B$201=1),--(LEFT(Data!$B$2:$B$201,8)=LEFT(Data!B43,8)))&gt;1,1,0))</f>
        <v/>
      </c>
      <c r="H43" s="18" t="str">
        <f aca="false">IF($B43&lt;&gt;1,"",IF(Data!D43="",1,0))</f>
        <v/>
      </c>
      <c r="I43" s="18" t="str">
        <f aca="false">IF($A43="","",IF(AND(Data!J43&lt;&gt;"",ISNUMBER(Data!J43),Data!J43&lt;Settings!$B$2,Data!G43="Active"),1,0))</f>
        <v/>
      </c>
      <c r="J43" s="18" t="str">
        <f aca="false">IF($A43="","",IF($B43&lt;&gt;1,0,(1-N($C43))+(1-N($D43))+(1-N($E43))+N($F43)+N($G43)+N($H43)+N($I43)))</f>
        <v/>
      </c>
    </row>
    <row r="44" customFormat="false" ht="15" hidden="false" customHeight="false" outlineLevel="0" collapsed="false">
      <c r="A44" s="17" t="str">
        <f aca="false">IF(Data!A44="","",Data!A44)</f>
        <v/>
      </c>
      <c r="B44" s="17" t="str">
        <f aca="false">IF($A44="","",IF(Data!G44="Active",1,0))</f>
        <v/>
      </c>
      <c r="C44" s="17" t="str">
        <f aca="false">IF($B44&lt;&gt;1,"",IF(COUNTBLANK(Data!B44:H44)=0,1,0))</f>
        <v/>
      </c>
      <c r="D44" s="17" t="str">
        <f aca="false">IF($B44&lt;&gt;1,"",IF(LEFT(Data!E44,4)="OWN-",1,0))</f>
        <v/>
      </c>
      <c r="E44" s="17" t="str">
        <f aca="false">IF($B44&lt;&gt;1,"",IF(LEFT(Data!F44,4)="OWN-",1,0))</f>
        <v/>
      </c>
      <c r="F44" s="17" t="str">
        <f aca="false">IF($B44&lt;&gt;1,"",IF(OR(Data!I44="",(Settings!$B$2-Data!I44)&gt;Settings!$B$3),1,0))</f>
        <v/>
      </c>
      <c r="G44" s="17" t="str">
        <f aca="false">IF($B44&lt;&gt;1,"",IF(SUMPRODUCT(--($B$2:$B$201=1),--(LEFT(Data!$B$2:$B$201,8)=LEFT(Data!B44,8)))&gt;1,1,0))</f>
        <v/>
      </c>
      <c r="H44" s="17" t="str">
        <f aca="false">IF($B44&lt;&gt;1,"",IF(Data!D44="",1,0))</f>
        <v/>
      </c>
      <c r="I44" s="17" t="str">
        <f aca="false">IF($A44="","",IF(AND(Data!J44&lt;&gt;"",ISNUMBER(Data!J44),Data!J44&lt;Settings!$B$2,Data!G44="Active"),1,0))</f>
        <v/>
      </c>
      <c r="J44" s="17" t="str">
        <f aca="false">IF($A44="","",IF($B44&lt;&gt;1,0,(1-N($C44))+(1-N($D44))+(1-N($E44))+N($F44)+N($G44)+N($H44)+N($I44)))</f>
        <v/>
      </c>
    </row>
    <row r="45" customFormat="false" ht="15" hidden="false" customHeight="false" outlineLevel="0" collapsed="false">
      <c r="A45" s="18" t="str">
        <f aca="false">IF(Data!A45="","",Data!A45)</f>
        <v/>
      </c>
      <c r="B45" s="18" t="str">
        <f aca="false">IF($A45="","",IF(Data!G45="Active",1,0))</f>
        <v/>
      </c>
      <c r="C45" s="18" t="str">
        <f aca="false">IF($B45&lt;&gt;1,"",IF(COUNTBLANK(Data!B45:H45)=0,1,0))</f>
        <v/>
      </c>
      <c r="D45" s="18" t="str">
        <f aca="false">IF($B45&lt;&gt;1,"",IF(LEFT(Data!E45,4)="OWN-",1,0))</f>
        <v/>
      </c>
      <c r="E45" s="18" t="str">
        <f aca="false">IF($B45&lt;&gt;1,"",IF(LEFT(Data!F45,4)="OWN-",1,0))</f>
        <v/>
      </c>
      <c r="F45" s="18" t="str">
        <f aca="false">IF($B45&lt;&gt;1,"",IF(OR(Data!I45="",(Settings!$B$2-Data!I45)&gt;Settings!$B$3),1,0))</f>
        <v/>
      </c>
      <c r="G45" s="18" t="str">
        <f aca="false">IF($B45&lt;&gt;1,"",IF(SUMPRODUCT(--($B$2:$B$201=1),--(LEFT(Data!$B$2:$B$201,8)=LEFT(Data!B45,8)))&gt;1,1,0))</f>
        <v/>
      </c>
      <c r="H45" s="18" t="str">
        <f aca="false">IF($B45&lt;&gt;1,"",IF(Data!D45="",1,0))</f>
        <v/>
      </c>
      <c r="I45" s="18" t="str">
        <f aca="false">IF($A45="","",IF(AND(Data!J45&lt;&gt;"",ISNUMBER(Data!J45),Data!J45&lt;Settings!$B$2,Data!G45="Active"),1,0))</f>
        <v/>
      </c>
      <c r="J45" s="18" t="str">
        <f aca="false">IF($A45="","",IF($B45&lt;&gt;1,0,(1-N($C45))+(1-N($D45))+(1-N($E45))+N($F45)+N($G45)+N($H45)+N($I45)))</f>
        <v/>
      </c>
    </row>
    <row r="46" customFormat="false" ht="15" hidden="false" customHeight="false" outlineLevel="0" collapsed="false">
      <c r="A46" s="17" t="str">
        <f aca="false">IF(Data!A46="","",Data!A46)</f>
        <v/>
      </c>
      <c r="B46" s="17" t="str">
        <f aca="false">IF($A46="","",IF(Data!G46="Active",1,0))</f>
        <v/>
      </c>
      <c r="C46" s="17" t="str">
        <f aca="false">IF($B46&lt;&gt;1,"",IF(COUNTBLANK(Data!B46:H46)=0,1,0))</f>
        <v/>
      </c>
      <c r="D46" s="17" t="str">
        <f aca="false">IF($B46&lt;&gt;1,"",IF(LEFT(Data!E46,4)="OWN-",1,0))</f>
        <v/>
      </c>
      <c r="E46" s="17" t="str">
        <f aca="false">IF($B46&lt;&gt;1,"",IF(LEFT(Data!F46,4)="OWN-",1,0))</f>
        <v/>
      </c>
      <c r="F46" s="17" t="str">
        <f aca="false">IF($B46&lt;&gt;1,"",IF(OR(Data!I46="",(Settings!$B$2-Data!I46)&gt;Settings!$B$3),1,0))</f>
        <v/>
      </c>
      <c r="G46" s="17" t="str">
        <f aca="false">IF($B46&lt;&gt;1,"",IF(SUMPRODUCT(--($B$2:$B$201=1),--(LEFT(Data!$B$2:$B$201,8)=LEFT(Data!B46,8)))&gt;1,1,0))</f>
        <v/>
      </c>
      <c r="H46" s="17" t="str">
        <f aca="false">IF($B46&lt;&gt;1,"",IF(Data!D46="",1,0))</f>
        <v/>
      </c>
      <c r="I46" s="17" t="str">
        <f aca="false">IF($A46="","",IF(AND(Data!J46&lt;&gt;"",ISNUMBER(Data!J46),Data!J46&lt;Settings!$B$2,Data!G46="Active"),1,0))</f>
        <v/>
      </c>
      <c r="J46" s="17" t="str">
        <f aca="false">IF($A46="","",IF($B46&lt;&gt;1,0,(1-N($C46))+(1-N($D46))+(1-N($E46))+N($F46)+N($G46)+N($H46)+N($I46)))</f>
        <v/>
      </c>
    </row>
    <row r="47" customFormat="false" ht="15" hidden="false" customHeight="false" outlineLevel="0" collapsed="false">
      <c r="A47" s="18" t="str">
        <f aca="false">IF(Data!A47="","",Data!A47)</f>
        <v/>
      </c>
      <c r="B47" s="18" t="str">
        <f aca="false">IF($A47="","",IF(Data!G47="Active",1,0))</f>
        <v/>
      </c>
      <c r="C47" s="18" t="str">
        <f aca="false">IF($B47&lt;&gt;1,"",IF(COUNTBLANK(Data!B47:H47)=0,1,0))</f>
        <v/>
      </c>
      <c r="D47" s="18" t="str">
        <f aca="false">IF($B47&lt;&gt;1,"",IF(LEFT(Data!E47,4)="OWN-",1,0))</f>
        <v/>
      </c>
      <c r="E47" s="18" t="str">
        <f aca="false">IF($B47&lt;&gt;1,"",IF(LEFT(Data!F47,4)="OWN-",1,0))</f>
        <v/>
      </c>
      <c r="F47" s="18" t="str">
        <f aca="false">IF($B47&lt;&gt;1,"",IF(OR(Data!I47="",(Settings!$B$2-Data!I47)&gt;Settings!$B$3),1,0))</f>
        <v/>
      </c>
      <c r="G47" s="18" t="str">
        <f aca="false">IF($B47&lt;&gt;1,"",IF(SUMPRODUCT(--($B$2:$B$201=1),--(LEFT(Data!$B$2:$B$201,8)=LEFT(Data!B47,8)))&gt;1,1,0))</f>
        <v/>
      </c>
      <c r="H47" s="18" t="str">
        <f aca="false">IF($B47&lt;&gt;1,"",IF(Data!D47="",1,0))</f>
        <v/>
      </c>
      <c r="I47" s="18" t="str">
        <f aca="false">IF($A47="","",IF(AND(Data!J47&lt;&gt;"",ISNUMBER(Data!J47),Data!J47&lt;Settings!$B$2,Data!G47="Active"),1,0))</f>
        <v/>
      </c>
      <c r="J47" s="18" t="str">
        <f aca="false">IF($A47="","",IF($B47&lt;&gt;1,0,(1-N($C47))+(1-N($D47))+(1-N($E47))+N($F47)+N($G47)+N($H47)+N($I47)))</f>
        <v/>
      </c>
    </row>
    <row r="48" customFormat="false" ht="15" hidden="false" customHeight="false" outlineLevel="0" collapsed="false">
      <c r="A48" s="17" t="str">
        <f aca="false">IF(Data!A48="","",Data!A48)</f>
        <v/>
      </c>
      <c r="B48" s="17" t="str">
        <f aca="false">IF($A48="","",IF(Data!G48="Active",1,0))</f>
        <v/>
      </c>
      <c r="C48" s="17" t="str">
        <f aca="false">IF($B48&lt;&gt;1,"",IF(COUNTBLANK(Data!B48:H48)=0,1,0))</f>
        <v/>
      </c>
      <c r="D48" s="17" t="str">
        <f aca="false">IF($B48&lt;&gt;1,"",IF(LEFT(Data!E48,4)="OWN-",1,0))</f>
        <v/>
      </c>
      <c r="E48" s="17" t="str">
        <f aca="false">IF($B48&lt;&gt;1,"",IF(LEFT(Data!F48,4)="OWN-",1,0))</f>
        <v/>
      </c>
      <c r="F48" s="17" t="str">
        <f aca="false">IF($B48&lt;&gt;1,"",IF(OR(Data!I48="",(Settings!$B$2-Data!I48)&gt;Settings!$B$3),1,0))</f>
        <v/>
      </c>
      <c r="G48" s="17" t="str">
        <f aca="false">IF($B48&lt;&gt;1,"",IF(SUMPRODUCT(--($B$2:$B$201=1),--(LEFT(Data!$B$2:$B$201,8)=LEFT(Data!B48,8)))&gt;1,1,0))</f>
        <v/>
      </c>
      <c r="H48" s="17" t="str">
        <f aca="false">IF($B48&lt;&gt;1,"",IF(Data!D48="",1,0))</f>
        <v/>
      </c>
      <c r="I48" s="17" t="str">
        <f aca="false">IF($A48="","",IF(AND(Data!J48&lt;&gt;"",ISNUMBER(Data!J48),Data!J48&lt;Settings!$B$2,Data!G48="Active"),1,0))</f>
        <v/>
      </c>
      <c r="J48" s="17" t="str">
        <f aca="false">IF($A48="","",IF($B48&lt;&gt;1,0,(1-N($C48))+(1-N($D48))+(1-N($E48))+N($F48)+N($G48)+N($H48)+N($I48)))</f>
        <v/>
      </c>
    </row>
    <row r="49" customFormat="false" ht="15" hidden="false" customHeight="false" outlineLevel="0" collapsed="false">
      <c r="A49" s="18" t="str">
        <f aca="false">IF(Data!A49="","",Data!A49)</f>
        <v/>
      </c>
      <c r="B49" s="18" t="str">
        <f aca="false">IF($A49="","",IF(Data!G49="Active",1,0))</f>
        <v/>
      </c>
      <c r="C49" s="18" t="str">
        <f aca="false">IF($B49&lt;&gt;1,"",IF(COUNTBLANK(Data!B49:H49)=0,1,0))</f>
        <v/>
      </c>
      <c r="D49" s="18" t="str">
        <f aca="false">IF($B49&lt;&gt;1,"",IF(LEFT(Data!E49,4)="OWN-",1,0))</f>
        <v/>
      </c>
      <c r="E49" s="18" t="str">
        <f aca="false">IF($B49&lt;&gt;1,"",IF(LEFT(Data!F49,4)="OWN-",1,0))</f>
        <v/>
      </c>
      <c r="F49" s="18" t="str">
        <f aca="false">IF($B49&lt;&gt;1,"",IF(OR(Data!I49="",(Settings!$B$2-Data!I49)&gt;Settings!$B$3),1,0))</f>
        <v/>
      </c>
      <c r="G49" s="18" t="str">
        <f aca="false">IF($B49&lt;&gt;1,"",IF(SUMPRODUCT(--($B$2:$B$201=1),--(LEFT(Data!$B$2:$B$201,8)=LEFT(Data!B49,8)))&gt;1,1,0))</f>
        <v/>
      </c>
      <c r="H49" s="18" t="str">
        <f aca="false">IF($B49&lt;&gt;1,"",IF(Data!D49="",1,0))</f>
        <v/>
      </c>
      <c r="I49" s="18" t="str">
        <f aca="false">IF($A49="","",IF(AND(Data!J49&lt;&gt;"",ISNUMBER(Data!J49),Data!J49&lt;Settings!$B$2,Data!G49="Active"),1,0))</f>
        <v/>
      </c>
      <c r="J49" s="18" t="str">
        <f aca="false">IF($A49="","",IF($B49&lt;&gt;1,0,(1-N($C49))+(1-N($D49))+(1-N($E49))+N($F49)+N($G49)+N($H49)+N($I49)))</f>
        <v/>
      </c>
    </row>
    <row r="50" customFormat="false" ht="15" hidden="false" customHeight="false" outlineLevel="0" collapsed="false">
      <c r="A50" s="17" t="str">
        <f aca="false">IF(Data!A50="","",Data!A50)</f>
        <v/>
      </c>
      <c r="B50" s="17" t="str">
        <f aca="false">IF($A50="","",IF(Data!G50="Active",1,0))</f>
        <v/>
      </c>
      <c r="C50" s="17" t="str">
        <f aca="false">IF($B50&lt;&gt;1,"",IF(COUNTBLANK(Data!B50:H50)=0,1,0))</f>
        <v/>
      </c>
      <c r="D50" s="17" t="str">
        <f aca="false">IF($B50&lt;&gt;1,"",IF(LEFT(Data!E50,4)="OWN-",1,0))</f>
        <v/>
      </c>
      <c r="E50" s="17" t="str">
        <f aca="false">IF($B50&lt;&gt;1,"",IF(LEFT(Data!F50,4)="OWN-",1,0))</f>
        <v/>
      </c>
      <c r="F50" s="17" t="str">
        <f aca="false">IF($B50&lt;&gt;1,"",IF(OR(Data!I50="",(Settings!$B$2-Data!I50)&gt;Settings!$B$3),1,0))</f>
        <v/>
      </c>
      <c r="G50" s="17" t="str">
        <f aca="false">IF($B50&lt;&gt;1,"",IF(SUMPRODUCT(--($B$2:$B$201=1),--(LEFT(Data!$B$2:$B$201,8)=LEFT(Data!B50,8)))&gt;1,1,0))</f>
        <v/>
      </c>
      <c r="H50" s="17" t="str">
        <f aca="false">IF($B50&lt;&gt;1,"",IF(Data!D50="",1,0))</f>
        <v/>
      </c>
      <c r="I50" s="17" t="str">
        <f aca="false">IF($A50="","",IF(AND(Data!J50&lt;&gt;"",ISNUMBER(Data!J50),Data!J50&lt;Settings!$B$2,Data!G50="Active"),1,0))</f>
        <v/>
      </c>
      <c r="J50" s="17" t="str">
        <f aca="false">IF($A50="","",IF($B50&lt;&gt;1,0,(1-N($C50))+(1-N($D50))+(1-N($E50))+N($F50)+N($G50)+N($H50)+N($I50)))</f>
        <v/>
      </c>
    </row>
    <row r="51" customFormat="false" ht="15" hidden="false" customHeight="false" outlineLevel="0" collapsed="false">
      <c r="A51" s="18" t="str">
        <f aca="false">IF(Data!A51="","",Data!A51)</f>
        <v/>
      </c>
      <c r="B51" s="18" t="str">
        <f aca="false">IF($A51="","",IF(Data!G51="Active",1,0))</f>
        <v/>
      </c>
      <c r="C51" s="18" t="str">
        <f aca="false">IF($B51&lt;&gt;1,"",IF(COUNTBLANK(Data!B51:H51)=0,1,0))</f>
        <v/>
      </c>
      <c r="D51" s="18" t="str">
        <f aca="false">IF($B51&lt;&gt;1,"",IF(LEFT(Data!E51,4)="OWN-",1,0))</f>
        <v/>
      </c>
      <c r="E51" s="18" t="str">
        <f aca="false">IF($B51&lt;&gt;1,"",IF(LEFT(Data!F51,4)="OWN-",1,0))</f>
        <v/>
      </c>
      <c r="F51" s="18" t="str">
        <f aca="false">IF($B51&lt;&gt;1,"",IF(OR(Data!I51="",(Settings!$B$2-Data!I51)&gt;Settings!$B$3),1,0))</f>
        <v/>
      </c>
      <c r="G51" s="18" t="str">
        <f aca="false">IF($B51&lt;&gt;1,"",IF(SUMPRODUCT(--($B$2:$B$201=1),--(LEFT(Data!$B$2:$B$201,8)=LEFT(Data!B51,8)))&gt;1,1,0))</f>
        <v/>
      </c>
      <c r="H51" s="18" t="str">
        <f aca="false">IF($B51&lt;&gt;1,"",IF(Data!D51="",1,0))</f>
        <v/>
      </c>
      <c r="I51" s="18" t="str">
        <f aca="false">IF($A51="","",IF(AND(Data!J51&lt;&gt;"",ISNUMBER(Data!J51),Data!J51&lt;Settings!$B$2,Data!G51="Active"),1,0))</f>
        <v/>
      </c>
      <c r="J51" s="18" t="str">
        <f aca="false">IF($A51="","",IF($B51&lt;&gt;1,0,(1-N($C51))+(1-N($D51))+(1-N($E51))+N($F51)+N($G51)+N($H51)+N($I51)))</f>
        <v/>
      </c>
    </row>
    <row r="52" customFormat="false" ht="15" hidden="false" customHeight="false" outlineLevel="0" collapsed="false">
      <c r="A52" s="17" t="str">
        <f aca="false">IF(Data!A52="","",Data!A52)</f>
        <v/>
      </c>
      <c r="B52" s="17" t="str">
        <f aca="false">IF($A52="","",IF(Data!G52="Active",1,0))</f>
        <v/>
      </c>
      <c r="C52" s="17" t="str">
        <f aca="false">IF($B52&lt;&gt;1,"",IF(COUNTBLANK(Data!B52:H52)=0,1,0))</f>
        <v/>
      </c>
      <c r="D52" s="17" t="str">
        <f aca="false">IF($B52&lt;&gt;1,"",IF(LEFT(Data!E52,4)="OWN-",1,0))</f>
        <v/>
      </c>
      <c r="E52" s="17" t="str">
        <f aca="false">IF($B52&lt;&gt;1,"",IF(LEFT(Data!F52,4)="OWN-",1,0))</f>
        <v/>
      </c>
      <c r="F52" s="17" t="str">
        <f aca="false">IF($B52&lt;&gt;1,"",IF(OR(Data!I52="",(Settings!$B$2-Data!I52)&gt;Settings!$B$3),1,0))</f>
        <v/>
      </c>
      <c r="G52" s="17" t="str">
        <f aca="false">IF($B52&lt;&gt;1,"",IF(SUMPRODUCT(--($B$2:$B$201=1),--(LEFT(Data!$B$2:$B$201,8)=LEFT(Data!B52,8)))&gt;1,1,0))</f>
        <v/>
      </c>
      <c r="H52" s="17" t="str">
        <f aca="false">IF($B52&lt;&gt;1,"",IF(Data!D52="",1,0))</f>
        <v/>
      </c>
      <c r="I52" s="17" t="str">
        <f aca="false">IF($A52="","",IF(AND(Data!J52&lt;&gt;"",ISNUMBER(Data!J52),Data!J52&lt;Settings!$B$2,Data!G52="Active"),1,0))</f>
        <v/>
      </c>
      <c r="J52" s="17" t="str">
        <f aca="false">IF($A52="","",IF($B52&lt;&gt;1,0,(1-N($C52))+(1-N($D52))+(1-N($E52))+N($F52)+N($G52)+N($H52)+N($I52)))</f>
        <v/>
      </c>
    </row>
    <row r="53" customFormat="false" ht="15" hidden="false" customHeight="false" outlineLevel="0" collapsed="false">
      <c r="A53" s="18" t="str">
        <f aca="false">IF(Data!A53="","",Data!A53)</f>
        <v/>
      </c>
      <c r="B53" s="18" t="str">
        <f aca="false">IF($A53="","",IF(Data!G53="Active",1,0))</f>
        <v/>
      </c>
      <c r="C53" s="18" t="str">
        <f aca="false">IF($B53&lt;&gt;1,"",IF(COUNTBLANK(Data!B53:H53)=0,1,0))</f>
        <v/>
      </c>
      <c r="D53" s="18" t="str">
        <f aca="false">IF($B53&lt;&gt;1,"",IF(LEFT(Data!E53,4)="OWN-",1,0))</f>
        <v/>
      </c>
      <c r="E53" s="18" t="str">
        <f aca="false">IF($B53&lt;&gt;1,"",IF(LEFT(Data!F53,4)="OWN-",1,0))</f>
        <v/>
      </c>
      <c r="F53" s="18" t="str">
        <f aca="false">IF($B53&lt;&gt;1,"",IF(OR(Data!I53="",(Settings!$B$2-Data!I53)&gt;Settings!$B$3),1,0))</f>
        <v/>
      </c>
      <c r="G53" s="18" t="str">
        <f aca="false">IF($B53&lt;&gt;1,"",IF(SUMPRODUCT(--($B$2:$B$201=1),--(LEFT(Data!$B$2:$B$201,8)=LEFT(Data!B53,8)))&gt;1,1,0))</f>
        <v/>
      </c>
      <c r="H53" s="18" t="str">
        <f aca="false">IF($B53&lt;&gt;1,"",IF(Data!D53="",1,0))</f>
        <v/>
      </c>
      <c r="I53" s="18" t="str">
        <f aca="false">IF($A53="","",IF(AND(Data!J53&lt;&gt;"",ISNUMBER(Data!J53),Data!J53&lt;Settings!$B$2,Data!G53="Active"),1,0))</f>
        <v/>
      </c>
      <c r="J53" s="18" t="str">
        <f aca="false">IF($A53="","",IF($B53&lt;&gt;1,0,(1-N($C53))+(1-N($D53))+(1-N($E53))+N($F53)+N($G53)+N($H53)+N($I53)))</f>
        <v/>
      </c>
    </row>
    <row r="54" customFormat="false" ht="15" hidden="false" customHeight="false" outlineLevel="0" collapsed="false">
      <c r="A54" s="17" t="str">
        <f aca="false">IF(Data!A54="","",Data!A54)</f>
        <v/>
      </c>
      <c r="B54" s="17" t="str">
        <f aca="false">IF($A54="","",IF(Data!G54="Active",1,0))</f>
        <v/>
      </c>
      <c r="C54" s="17" t="str">
        <f aca="false">IF($B54&lt;&gt;1,"",IF(COUNTBLANK(Data!B54:H54)=0,1,0))</f>
        <v/>
      </c>
      <c r="D54" s="17" t="str">
        <f aca="false">IF($B54&lt;&gt;1,"",IF(LEFT(Data!E54,4)="OWN-",1,0))</f>
        <v/>
      </c>
      <c r="E54" s="17" t="str">
        <f aca="false">IF($B54&lt;&gt;1,"",IF(LEFT(Data!F54,4)="OWN-",1,0))</f>
        <v/>
      </c>
      <c r="F54" s="17" t="str">
        <f aca="false">IF($B54&lt;&gt;1,"",IF(OR(Data!I54="",(Settings!$B$2-Data!I54)&gt;Settings!$B$3),1,0))</f>
        <v/>
      </c>
      <c r="G54" s="17" t="str">
        <f aca="false">IF($B54&lt;&gt;1,"",IF(SUMPRODUCT(--($B$2:$B$201=1),--(LEFT(Data!$B$2:$B$201,8)=LEFT(Data!B54,8)))&gt;1,1,0))</f>
        <v/>
      </c>
      <c r="H54" s="17" t="str">
        <f aca="false">IF($B54&lt;&gt;1,"",IF(Data!D54="",1,0))</f>
        <v/>
      </c>
      <c r="I54" s="17" t="str">
        <f aca="false">IF($A54="","",IF(AND(Data!J54&lt;&gt;"",ISNUMBER(Data!J54),Data!J54&lt;Settings!$B$2,Data!G54="Active"),1,0))</f>
        <v/>
      </c>
      <c r="J54" s="17" t="str">
        <f aca="false">IF($A54="","",IF($B54&lt;&gt;1,0,(1-N($C54))+(1-N($D54))+(1-N($E54))+N($F54)+N($G54)+N($H54)+N($I54)))</f>
        <v/>
      </c>
    </row>
    <row r="55" customFormat="false" ht="15" hidden="false" customHeight="false" outlineLevel="0" collapsed="false">
      <c r="A55" s="18" t="str">
        <f aca="false">IF(Data!A55="","",Data!A55)</f>
        <v/>
      </c>
      <c r="B55" s="18" t="str">
        <f aca="false">IF($A55="","",IF(Data!G55="Active",1,0))</f>
        <v/>
      </c>
      <c r="C55" s="18" t="str">
        <f aca="false">IF($B55&lt;&gt;1,"",IF(COUNTBLANK(Data!B55:H55)=0,1,0))</f>
        <v/>
      </c>
      <c r="D55" s="18" t="str">
        <f aca="false">IF($B55&lt;&gt;1,"",IF(LEFT(Data!E55,4)="OWN-",1,0))</f>
        <v/>
      </c>
      <c r="E55" s="18" t="str">
        <f aca="false">IF($B55&lt;&gt;1,"",IF(LEFT(Data!F55,4)="OWN-",1,0))</f>
        <v/>
      </c>
      <c r="F55" s="18" t="str">
        <f aca="false">IF($B55&lt;&gt;1,"",IF(OR(Data!I55="",(Settings!$B$2-Data!I55)&gt;Settings!$B$3),1,0))</f>
        <v/>
      </c>
      <c r="G55" s="18" t="str">
        <f aca="false">IF($B55&lt;&gt;1,"",IF(SUMPRODUCT(--($B$2:$B$201=1),--(LEFT(Data!$B$2:$B$201,8)=LEFT(Data!B55,8)))&gt;1,1,0))</f>
        <v/>
      </c>
      <c r="H55" s="18" t="str">
        <f aca="false">IF($B55&lt;&gt;1,"",IF(Data!D55="",1,0))</f>
        <v/>
      </c>
      <c r="I55" s="18" t="str">
        <f aca="false">IF($A55="","",IF(AND(Data!J55&lt;&gt;"",ISNUMBER(Data!J55),Data!J55&lt;Settings!$B$2,Data!G55="Active"),1,0))</f>
        <v/>
      </c>
      <c r="J55" s="18" t="str">
        <f aca="false">IF($A55="","",IF($B55&lt;&gt;1,0,(1-N($C55))+(1-N($D55))+(1-N($E55))+N($F55)+N($G55)+N($H55)+N($I55)))</f>
        <v/>
      </c>
    </row>
    <row r="56" customFormat="false" ht="15" hidden="false" customHeight="false" outlineLevel="0" collapsed="false">
      <c r="A56" s="17" t="str">
        <f aca="false">IF(Data!A56="","",Data!A56)</f>
        <v/>
      </c>
      <c r="B56" s="17" t="str">
        <f aca="false">IF($A56="","",IF(Data!G56="Active",1,0))</f>
        <v/>
      </c>
      <c r="C56" s="17" t="str">
        <f aca="false">IF($B56&lt;&gt;1,"",IF(COUNTBLANK(Data!B56:H56)=0,1,0))</f>
        <v/>
      </c>
      <c r="D56" s="17" t="str">
        <f aca="false">IF($B56&lt;&gt;1,"",IF(LEFT(Data!E56,4)="OWN-",1,0))</f>
        <v/>
      </c>
      <c r="E56" s="17" t="str">
        <f aca="false">IF($B56&lt;&gt;1,"",IF(LEFT(Data!F56,4)="OWN-",1,0))</f>
        <v/>
      </c>
      <c r="F56" s="17" t="str">
        <f aca="false">IF($B56&lt;&gt;1,"",IF(OR(Data!I56="",(Settings!$B$2-Data!I56)&gt;Settings!$B$3),1,0))</f>
        <v/>
      </c>
      <c r="G56" s="17" t="str">
        <f aca="false">IF($B56&lt;&gt;1,"",IF(SUMPRODUCT(--($B$2:$B$201=1),--(LEFT(Data!$B$2:$B$201,8)=LEFT(Data!B56,8)))&gt;1,1,0))</f>
        <v/>
      </c>
      <c r="H56" s="17" t="str">
        <f aca="false">IF($B56&lt;&gt;1,"",IF(Data!D56="",1,0))</f>
        <v/>
      </c>
      <c r="I56" s="17" t="str">
        <f aca="false">IF($A56="","",IF(AND(Data!J56&lt;&gt;"",ISNUMBER(Data!J56),Data!J56&lt;Settings!$B$2,Data!G56="Active"),1,0))</f>
        <v/>
      </c>
      <c r="J56" s="17" t="str">
        <f aca="false">IF($A56="","",IF($B56&lt;&gt;1,0,(1-N($C56))+(1-N($D56))+(1-N($E56))+N($F56)+N($G56)+N($H56)+N($I56)))</f>
        <v/>
      </c>
    </row>
    <row r="57" customFormat="false" ht="15" hidden="false" customHeight="false" outlineLevel="0" collapsed="false">
      <c r="A57" s="18" t="str">
        <f aca="false">IF(Data!A57="","",Data!A57)</f>
        <v/>
      </c>
      <c r="B57" s="18" t="str">
        <f aca="false">IF($A57="","",IF(Data!G57="Active",1,0))</f>
        <v/>
      </c>
      <c r="C57" s="18" t="str">
        <f aca="false">IF($B57&lt;&gt;1,"",IF(COUNTBLANK(Data!B57:H57)=0,1,0))</f>
        <v/>
      </c>
      <c r="D57" s="18" t="str">
        <f aca="false">IF($B57&lt;&gt;1,"",IF(LEFT(Data!E57,4)="OWN-",1,0))</f>
        <v/>
      </c>
      <c r="E57" s="18" t="str">
        <f aca="false">IF($B57&lt;&gt;1,"",IF(LEFT(Data!F57,4)="OWN-",1,0))</f>
        <v/>
      </c>
      <c r="F57" s="18" t="str">
        <f aca="false">IF($B57&lt;&gt;1,"",IF(OR(Data!I57="",(Settings!$B$2-Data!I57)&gt;Settings!$B$3),1,0))</f>
        <v/>
      </c>
      <c r="G57" s="18" t="str">
        <f aca="false">IF($B57&lt;&gt;1,"",IF(SUMPRODUCT(--($B$2:$B$201=1),--(LEFT(Data!$B$2:$B$201,8)=LEFT(Data!B57,8)))&gt;1,1,0))</f>
        <v/>
      </c>
      <c r="H57" s="18" t="str">
        <f aca="false">IF($B57&lt;&gt;1,"",IF(Data!D57="",1,0))</f>
        <v/>
      </c>
      <c r="I57" s="18" t="str">
        <f aca="false">IF($A57="","",IF(AND(Data!J57&lt;&gt;"",ISNUMBER(Data!J57),Data!J57&lt;Settings!$B$2,Data!G57="Active"),1,0))</f>
        <v/>
      </c>
      <c r="J57" s="18" t="str">
        <f aca="false">IF($A57="","",IF($B57&lt;&gt;1,0,(1-N($C57))+(1-N($D57))+(1-N($E57))+N($F57)+N($G57)+N($H57)+N($I57)))</f>
        <v/>
      </c>
    </row>
    <row r="58" customFormat="false" ht="15" hidden="false" customHeight="false" outlineLevel="0" collapsed="false">
      <c r="A58" s="17" t="str">
        <f aca="false">IF(Data!A58="","",Data!A58)</f>
        <v/>
      </c>
      <c r="B58" s="17" t="str">
        <f aca="false">IF($A58="","",IF(Data!G58="Active",1,0))</f>
        <v/>
      </c>
      <c r="C58" s="17" t="str">
        <f aca="false">IF($B58&lt;&gt;1,"",IF(COUNTBLANK(Data!B58:H58)=0,1,0))</f>
        <v/>
      </c>
      <c r="D58" s="17" t="str">
        <f aca="false">IF($B58&lt;&gt;1,"",IF(LEFT(Data!E58,4)="OWN-",1,0))</f>
        <v/>
      </c>
      <c r="E58" s="17" t="str">
        <f aca="false">IF($B58&lt;&gt;1,"",IF(LEFT(Data!F58,4)="OWN-",1,0))</f>
        <v/>
      </c>
      <c r="F58" s="17" t="str">
        <f aca="false">IF($B58&lt;&gt;1,"",IF(OR(Data!I58="",(Settings!$B$2-Data!I58)&gt;Settings!$B$3),1,0))</f>
        <v/>
      </c>
      <c r="G58" s="17" t="str">
        <f aca="false">IF($B58&lt;&gt;1,"",IF(SUMPRODUCT(--($B$2:$B$201=1),--(LEFT(Data!$B$2:$B$201,8)=LEFT(Data!B58,8)))&gt;1,1,0))</f>
        <v/>
      </c>
      <c r="H58" s="17" t="str">
        <f aca="false">IF($B58&lt;&gt;1,"",IF(Data!D58="",1,0))</f>
        <v/>
      </c>
      <c r="I58" s="17" t="str">
        <f aca="false">IF($A58="","",IF(AND(Data!J58&lt;&gt;"",ISNUMBER(Data!J58),Data!J58&lt;Settings!$B$2,Data!G58="Active"),1,0))</f>
        <v/>
      </c>
      <c r="J58" s="17" t="str">
        <f aca="false">IF($A58="","",IF($B58&lt;&gt;1,0,(1-N($C58))+(1-N($D58))+(1-N($E58))+N($F58)+N($G58)+N($H58)+N($I58)))</f>
        <v/>
      </c>
    </row>
    <row r="59" customFormat="false" ht="15" hidden="false" customHeight="false" outlineLevel="0" collapsed="false">
      <c r="A59" s="18" t="str">
        <f aca="false">IF(Data!A59="","",Data!A59)</f>
        <v/>
      </c>
      <c r="B59" s="18" t="str">
        <f aca="false">IF($A59="","",IF(Data!G59="Active",1,0))</f>
        <v/>
      </c>
      <c r="C59" s="18" t="str">
        <f aca="false">IF($B59&lt;&gt;1,"",IF(COUNTBLANK(Data!B59:H59)=0,1,0))</f>
        <v/>
      </c>
      <c r="D59" s="18" t="str">
        <f aca="false">IF($B59&lt;&gt;1,"",IF(LEFT(Data!E59,4)="OWN-",1,0))</f>
        <v/>
      </c>
      <c r="E59" s="18" t="str">
        <f aca="false">IF($B59&lt;&gt;1,"",IF(LEFT(Data!F59,4)="OWN-",1,0))</f>
        <v/>
      </c>
      <c r="F59" s="18" t="str">
        <f aca="false">IF($B59&lt;&gt;1,"",IF(OR(Data!I59="",(Settings!$B$2-Data!I59)&gt;Settings!$B$3),1,0))</f>
        <v/>
      </c>
      <c r="G59" s="18" t="str">
        <f aca="false">IF($B59&lt;&gt;1,"",IF(SUMPRODUCT(--($B$2:$B$201=1),--(LEFT(Data!$B$2:$B$201,8)=LEFT(Data!B59,8)))&gt;1,1,0))</f>
        <v/>
      </c>
      <c r="H59" s="18" t="str">
        <f aca="false">IF($B59&lt;&gt;1,"",IF(Data!D59="",1,0))</f>
        <v/>
      </c>
      <c r="I59" s="18" t="str">
        <f aca="false">IF($A59="","",IF(AND(Data!J59&lt;&gt;"",ISNUMBER(Data!J59),Data!J59&lt;Settings!$B$2,Data!G59="Active"),1,0))</f>
        <v/>
      </c>
      <c r="J59" s="18" t="str">
        <f aca="false">IF($A59="","",IF($B59&lt;&gt;1,0,(1-N($C59))+(1-N($D59))+(1-N($E59))+N($F59)+N($G59)+N($H59)+N($I59)))</f>
        <v/>
      </c>
    </row>
    <row r="60" customFormat="false" ht="15" hidden="false" customHeight="false" outlineLevel="0" collapsed="false">
      <c r="A60" s="17" t="str">
        <f aca="false">IF(Data!A60="","",Data!A60)</f>
        <v/>
      </c>
      <c r="B60" s="17" t="str">
        <f aca="false">IF($A60="","",IF(Data!G60="Active",1,0))</f>
        <v/>
      </c>
      <c r="C60" s="17" t="str">
        <f aca="false">IF($B60&lt;&gt;1,"",IF(COUNTBLANK(Data!B60:H60)=0,1,0))</f>
        <v/>
      </c>
      <c r="D60" s="17" t="str">
        <f aca="false">IF($B60&lt;&gt;1,"",IF(LEFT(Data!E60,4)="OWN-",1,0))</f>
        <v/>
      </c>
      <c r="E60" s="17" t="str">
        <f aca="false">IF($B60&lt;&gt;1,"",IF(LEFT(Data!F60,4)="OWN-",1,0))</f>
        <v/>
      </c>
      <c r="F60" s="17" t="str">
        <f aca="false">IF($B60&lt;&gt;1,"",IF(OR(Data!I60="",(Settings!$B$2-Data!I60)&gt;Settings!$B$3),1,0))</f>
        <v/>
      </c>
      <c r="G60" s="17" t="str">
        <f aca="false">IF($B60&lt;&gt;1,"",IF(SUMPRODUCT(--($B$2:$B$201=1),--(LEFT(Data!$B$2:$B$201,8)=LEFT(Data!B60,8)))&gt;1,1,0))</f>
        <v/>
      </c>
      <c r="H60" s="17" t="str">
        <f aca="false">IF($B60&lt;&gt;1,"",IF(Data!D60="",1,0))</f>
        <v/>
      </c>
      <c r="I60" s="17" t="str">
        <f aca="false">IF($A60="","",IF(AND(Data!J60&lt;&gt;"",ISNUMBER(Data!J60),Data!J60&lt;Settings!$B$2,Data!G60="Active"),1,0))</f>
        <v/>
      </c>
      <c r="J60" s="17" t="str">
        <f aca="false">IF($A60="","",IF($B60&lt;&gt;1,0,(1-N($C60))+(1-N($D60))+(1-N($E60))+N($F60)+N($G60)+N($H60)+N($I60)))</f>
        <v/>
      </c>
    </row>
    <row r="61" customFormat="false" ht="15" hidden="false" customHeight="false" outlineLevel="0" collapsed="false">
      <c r="A61" s="18" t="str">
        <f aca="false">IF(Data!A61="","",Data!A61)</f>
        <v/>
      </c>
      <c r="B61" s="18" t="str">
        <f aca="false">IF($A61="","",IF(Data!G61="Active",1,0))</f>
        <v/>
      </c>
      <c r="C61" s="18" t="str">
        <f aca="false">IF($B61&lt;&gt;1,"",IF(COUNTBLANK(Data!B61:H61)=0,1,0))</f>
        <v/>
      </c>
      <c r="D61" s="18" t="str">
        <f aca="false">IF($B61&lt;&gt;1,"",IF(LEFT(Data!E61,4)="OWN-",1,0))</f>
        <v/>
      </c>
      <c r="E61" s="18" t="str">
        <f aca="false">IF($B61&lt;&gt;1,"",IF(LEFT(Data!F61,4)="OWN-",1,0))</f>
        <v/>
      </c>
      <c r="F61" s="18" t="str">
        <f aca="false">IF($B61&lt;&gt;1,"",IF(OR(Data!I61="",(Settings!$B$2-Data!I61)&gt;Settings!$B$3),1,0))</f>
        <v/>
      </c>
      <c r="G61" s="18" t="str">
        <f aca="false">IF($B61&lt;&gt;1,"",IF(SUMPRODUCT(--($B$2:$B$201=1),--(LEFT(Data!$B$2:$B$201,8)=LEFT(Data!B61,8)))&gt;1,1,0))</f>
        <v/>
      </c>
      <c r="H61" s="18" t="str">
        <f aca="false">IF($B61&lt;&gt;1,"",IF(Data!D61="",1,0))</f>
        <v/>
      </c>
      <c r="I61" s="18" t="str">
        <f aca="false">IF($A61="","",IF(AND(Data!J61&lt;&gt;"",ISNUMBER(Data!J61),Data!J61&lt;Settings!$B$2,Data!G61="Active"),1,0))</f>
        <v/>
      </c>
      <c r="J61" s="18" t="str">
        <f aca="false">IF($A61="","",IF($B61&lt;&gt;1,0,(1-N($C61))+(1-N($D61))+(1-N($E61))+N($F61)+N($G61)+N($H61)+N($I61)))</f>
        <v/>
      </c>
    </row>
    <row r="62" customFormat="false" ht="15" hidden="false" customHeight="false" outlineLevel="0" collapsed="false">
      <c r="A62" s="17" t="str">
        <f aca="false">IF(Data!A62="","",Data!A62)</f>
        <v/>
      </c>
      <c r="B62" s="17" t="str">
        <f aca="false">IF($A62="","",IF(Data!G62="Active",1,0))</f>
        <v/>
      </c>
      <c r="C62" s="17" t="str">
        <f aca="false">IF($B62&lt;&gt;1,"",IF(COUNTBLANK(Data!B62:H62)=0,1,0))</f>
        <v/>
      </c>
      <c r="D62" s="17" t="str">
        <f aca="false">IF($B62&lt;&gt;1,"",IF(LEFT(Data!E62,4)="OWN-",1,0))</f>
        <v/>
      </c>
      <c r="E62" s="17" t="str">
        <f aca="false">IF($B62&lt;&gt;1,"",IF(LEFT(Data!F62,4)="OWN-",1,0))</f>
        <v/>
      </c>
      <c r="F62" s="17" t="str">
        <f aca="false">IF($B62&lt;&gt;1,"",IF(OR(Data!I62="",(Settings!$B$2-Data!I62)&gt;Settings!$B$3),1,0))</f>
        <v/>
      </c>
      <c r="G62" s="17" t="str">
        <f aca="false">IF($B62&lt;&gt;1,"",IF(SUMPRODUCT(--($B$2:$B$201=1),--(LEFT(Data!$B$2:$B$201,8)=LEFT(Data!B62,8)))&gt;1,1,0))</f>
        <v/>
      </c>
      <c r="H62" s="17" t="str">
        <f aca="false">IF($B62&lt;&gt;1,"",IF(Data!D62="",1,0))</f>
        <v/>
      </c>
      <c r="I62" s="17" t="str">
        <f aca="false">IF($A62="","",IF(AND(Data!J62&lt;&gt;"",ISNUMBER(Data!J62),Data!J62&lt;Settings!$B$2,Data!G62="Active"),1,0))</f>
        <v/>
      </c>
      <c r="J62" s="17" t="str">
        <f aca="false">IF($A62="","",IF($B62&lt;&gt;1,0,(1-N($C62))+(1-N($D62))+(1-N($E62))+N($F62)+N($G62)+N($H62)+N($I62)))</f>
        <v/>
      </c>
    </row>
    <row r="63" customFormat="false" ht="15" hidden="false" customHeight="false" outlineLevel="0" collapsed="false">
      <c r="A63" s="18" t="str">
        <f aca="false">IF(Data!A63="","",Data!A63)</f>
        <v/>
      </c>
      <c r="B63" s="18" t="str">
        <f aca="false">IF($A63="","",IF(Data!G63="Active",1,0))</f>
        <v/>
      </c>
      <c r="C63" s="18" t="str">
        <f aca="false">IF($B63&lt;&gt;1,"",IF(COUNTBLANK(Data!B63:H63)=0,1,0))</f>
        <v/>
      </c>
      <c r="D63" s="18" t="str">
        <f aca="false">IF($B63&lt;&gt;1,"",IF(LEFT(Data!E63,4)="OWN-",1,0))</f>
        <v/>
      </c>
      <c r="E63" s="18" t="str">
        <f aca="false">IF($B63&lt;&gt;1,"",IF(LEFT(Data!F63,4)="OWN-",1,0))</f>
        <v/>
      </c>
      <c r="F63" s="18" t="str">
        <f aca="false">IF($B63&lt;&gt;1,"",IF(OR(Data!I63="",(Settings!$B$2-Data!I63)&gt;Settings!$B$3),1,0))</f>
        <v/>
      </c>
      <c r="G63" s="18" t="str">
        <f aca="false">IF($B63&lt;&gt;1,"",IF(SUMPRODUCT(--($B$2:$B$201=1),--(LEFT(Data!$B$2:$B$201,8)=LEFT(Data!B63,8)))&gt;1,1,0))</f>
        <v/>
      </c>
      <c r="H63" s="18" t="str">
        <f aca="false">IF($B63&lt;&gt;1,"",IF(Data!D63="",1,0))</f>
        <v/>
      </c>
      <c r="I63" s="18" t="str">
        <f aca="false">IF($A63="","",IF(AND(Data!J63&lt;&gt;"",ISNUMBER(Data!J63),Data!J63&lt;Settings!$B$2,Data!G63="Active"),1,0))</f>
        <v/>
      </c>
      <c r="J63" s="18" t="str">
        <f aca="false">IF($A63="","",IF($B63&lt;&gt;1,0,(1-N($C63))+(1-N($D63))+(1-N($E63))+N($F63)+N($G63)+N($H63)+N($I63)))</f>
        <v/>
      </c>
    </row>
    <row r="64" customFormat="false" ht="15" hidden="false" customHeight="false" outlineLevel="0" collapsed="false">
      <c r="A64" s="17" t="str">
        <f aca="false">IF(Data!A64="","",Data!A64)</f>
        <v/>
      </c>
      <c r="B64" s="17" t="str">
        <f aca="false">IF($A64="","",IF(Data!G64="Active",1,0))</f>
        <v/>
      </c>
      <c r="C64" s="17" t="str">
        <f aca="false">IF($B64&lt;&gt;1,"",IF(COUNTBLANK(Data!B64:H64)=0,1,0))</f>
        <v/>
      </c>
      <c r="D64" s="17" t="str">
        <f aca="false">IF($B64&lt;&gt;1,"",IF(LEFT(Data!E64,4)="OWN-",1,0))</f>
        <v/>
      </c>
      <c r="E64" s="17" t="str">
        <f aca="false">IF($B64&lt;&gt;1,"",IF(LEFT(Data!F64,4)="OWN-",1,0))</f>
        <v/>
      </c>
      <c r="F64" s="17" t="str">
        <f aca="false">IF($B64&lt;&gt;1,"",IF(OR(Data!I64="",(Settings!$B$2-Data!I64)&gt;Settings!$B$3),1,0))</f>
        <v/>
      </c>
      <c r="G64" s="17" t="str">
        <f aca="false">IF($B64&lt;&gt;1,"",IF(SUMPRODUCT(--($B$2:$B$201=1),--(LEFT(Data!$B$2:$B$201,8)=LEFT(Data!B64,8)))&gt;1,1,0))</f>
        <v/>
      </c>
      <c r="H64" s="17" t="str">
        <f aca="false">IF($B64&lt;&gt;1,"",IF(Data!D64="",1,0))</f>
        <v/>
      </c>
      <c r="I64" s="17" t="str">
        <f aca="false">IF($A64="","",IF(AND(Data!J64&lt;&gt;"",ISNUMBER(Data!J64),Data!J64&lt;Settings!$B$2,Data!G64="Active"),1,0))</f>
        <v/>
      </c>
      <c r="J64" s="17" t="str">
        <f aca="false">IF($A64="","",IF($B64&lt;&gt;1,0,(1-N($C64))+(1-N($D64))+(1-N($E64))+N($F64)+N($G64)+N($H64)+N($I64)))</f>
        <v/>
      </c>
    </row>
    <row r="65" customFormat="false" ht="15" hidden="false" customHeight="false" outlineLevel="0" collapsed="false">
      <c r="A65" s="18" t="str">
        <f aca="false">IF(Data!A65="","",Data!A65)</f>
        <v/>
      </c>
      <c r="B65" s="18" t="str">
        <f aca="false">IF($A65="","",IF(Data!G65="Active",1,0))</f>
        <v/>
      </c>
      <c r="C65" s="18" t="str">
        <f aca="false">IF($B65&lt;&gt;1,"",IF(COUNTBLANK(Data!B65:H65)=0,1,0))</f>
        <v/>
      </c>
      <c r="D65" s="18" t="str">
        <f aca="false">IF($B65&lt;&gt;1,"",IF(LEFT(Data!E65,4)="OWN-",1,0))</f>
        <v/>
      </c>
      <c r="E65" s="18" t="str">
        <f aca="false">IF($B65&lt;&gt;1,"",IF(LEFT(Data!F65,4)="OWN-",1,0))</f>
        <v/>
      </c>
      <c r="F65" s="18" t="str">
        <f aca="false">IF($B65&lt;&gt;1,"",IF(OR(Data!I65="",(Settings!$B$2-Data!I65)&gt;Settings!$B$3),1,0))</f>
        <v/>
      </c>
      <c r="G65" s="18" t="str">
        <f aca="false">IF($B65&lt;&gt;1,"",IF(SUMPRODUCT(--($B$2:$B$201=1),--(LEFT(Data!$B$2:$B$201,8)=LEFT(Data!B65,8)))&gt;1,1,0))</f>
        <v/>
      </c>
      <c r="H65" s="18" t="str">
        <f aca="false">IF($B65&lt;&gt;1,"",IF(Data!D65="",1,0))</f>
        <v/>
      </c>
      <c r="I65" s="18" t="str">
        <f aca="false">IF($A65="","",IF(AND(Data!J65&lt;&gt;"",ISNUMBER(Data!J65),Data!J65&lt;Settings!$B$2,Data!G65="Active"),1,0))</f>
        <v/>
      </c>
      <c r="J65" s="18" t="str">
        <f aca="false">IF($A65="","",IF($B65&lt;&gt;1,0,(1-N($C65))+(1-N($D65))+(1-N($E65))+N($F65)+N($G65)+N($H65)+N($I65)))</f>
        <v/>
      </c>
    </row>
    <row r="66" customFormat="false" ht="15" hidden="false" customHeight="false" outlineLevel="0" collapsed="false">
      <c r="A66" s="17" t="str">
        <f aca="false">IF(Data!A66="","",Data!A66)</f>
        <v/>
      </c>
      <c r="B66" s="17" t="str">
        <f aca="false">IF($A66="","",IF(Data!G66="Active",1,0))</f>
        <v/>
      </c>
      <c r="C66" s="17" t="str">
        <f aca="false">IF($B66&lt;&gt;1,"",IF(COUNTBLANK(Data!B66:H66)=0,1,0))</f>
        <v/>
      </c>
      <c r="D66" s="17" t="str">
        <f aca="false">IF($B66&lt;&gt;1,"",IF(LEFT(Data!E66,4)="OWN-",1,0))</f>
        <v/>
      </c>
      <c r="E66" s="17" t="str">
        <f aca="false">IF($B66&lt;&gt;1,"",IF(LEFT(Data!F66,4)="OWN-",1,0))</f>
        <v/>
      </c>
      <c r="F66" s="17" t="str">
        <f aca="false">IF($B66&lt;&gt;1,"",IF(OR(Data!I66="",(Settings!$B$2-Data!I66)&gt;Settings!$B$3),1,0))</f>
        <v/>
      </c>
      <c r="G66" s="17" t="str">
        <f aca="false">IF($B66&lt;&gt;1,"",IF(SUMPRODUCT(--($B$2:$B$201=1),--(LEFT(Data!$B$2:$B$201,8)=LEFT(Data!B66,8)))&gt;1,1,0))</f>
        <v/>
      </c>
      <c r="H66" s="17" t="str">
        <f aca="false">IF($B66&lt;&gt;1,"",IF(Data!D66="",1,0))</f>
        <v/>
      </c>
      <c r="I66" s="17" t="str">
        <f aca="false">IF($A66="","",IF(AND(Data!J66&lt;&gt;"",ISNUMBER(Data!J66),Data!J66&lt;Settings!$B$2,Data!G66="Active"),1,0))</f>
        <v/>
      </c>
      <c r="J66" s="17" t="str">
        <f aca="false">IF($A66="","",IF($B66&lt;&gt;1,0,(1-N($C66))+(1-N($D66))+(1-N($E66))+N($F66)+N($G66)+N($H66)+N($I66)))</f>
        <v/>
      </c>
    </row>
    <row r="67" customFormat="false" ht="15" hidden="false" customHeight="false" outlineLevel="0" collapsed="false">
      <c r="A67" s="18" t="str">
        <f aca="false">IF(Data!A67="","",Data!A67)</f>
        <v/>
      </c>
      <c r="B67" s="18" t="str">
        <f aca="false">IF($A67="","",IF(Data!G67="Active",1,0))</f>
        <v/>
      </c>
      <c r="C67" s="18" t="str">
        <f aca="false">IF($B67&lt;&gt;1,"",IF(COUNTBLANK(Data!B67:H67)=0,1,0))</f>
        <v/>
      </c>
      <c r="D67" s="18" t="str">
        <f aca="false">IF($B67&lt;&gt;1,"",IF(LEFT(Data!E67,4)="OWN-",1,0))</f>
        <v/>
      </c>
      <c r="E67" s="18" t="str">
        <f aca="false">IF($B67&lt;&gt;1,"",IF(LEFT(Data!F67,4)="OWN-",1,0))</f>
        <v/>
      </c>
      <c r="F67" s="18" t="str">
        <f aca="false">IF($B67&lt;&gt;1,"",IF(OR(Data!I67="",(Settings!$B$2-Data!I67)&gt;Settings!$B$3),1,0))</f>
        <v/>
      </c>
      <c r="G67" s="18" t="str">
        <f aca="false">IF($B67&lt;&gt;1,"",IF(SUMPRODUCT(--($B$2:$B$201=1),--(LEFT(Data!$B$2:$B$201,8)=LEFT(Data!B67,8)))&gt;1,1,0))</f>
        <v/>
      </c>
      <c r="H67" s="18" t="str">
        <f aca="false">IF($B67&lt;&gt;1,"",IF(Data!D67="",1,0))</f>
        <v/>
      </c>
      <c r="I67" s="18" t="str">
        <f aca="false">IF($A67="","",IF(AND(Data!J67&lt;&gt;"",ISNUMBER(Data!J67),Data!J67&lt;Settings!$B$2,Data!G67="Active"),1,0))</f>
        <v/>
      </c>
      <c r="J67" s="18" t="str">
        <f aca="false">IF($A67="","",IF($B67&lt;&gt;1,0,(1-N($C67))+(1-N($D67))+(1-N($E67))+N($F67)+N($G67)+N($H67)+N($I67)))</f>
        <v/>
      </c>
    </row>
    <row r="68" customFormat="false" ht="15" hidden="false" customHeight="false" outlineLevel="0" collapsed="false">
      <c r="A68" s="17" t="str">
        <f aca="false">IF(Data!A68="","",Data!A68)</f>
        <v/>
      </c>
      <c r="B68" s="17" t="str">
        <f aca="false">IF($A68="","",IF(Data!G68="Active",1,0))</f>
        <v/>
      </c>
      <c r="C68" s="17" t="str">
        <f aca="false">IF($B68&lt;&gt;1,"",IF(COUNTBLANK(Data!B68:H68)=0,1,0))</f>
        <v/>
      </c>
      <c r="D68" s="17" t="str">
        <f aca="false">IF($B68&lt;&gt;1,"",IF(LEFT(Data!E68,4)="OWN-",1,0))</f>
        <v/>
      </c>
      <c r="E68" s="17" t="str">
        <f aca="false">IF($B68&lt;&gt;1,"",IF(LEFT(Data!F68,4)="OWN-",1,0))</f>
        <v/>
      </c>
      <c r="F68" s="17" t="str">
        <f aca="false">IF($B68&lt;&gt;1,"",IF(OR(Data!I68="",(Settings!$B$2-Data!I68)&gt;Settings!$B$3),1,0))</f>
        <v/>
      </c>
      <c r="G68" s="17" t="str">
        <f aca="false">IF($B68&lt;&gt;1,"",IF(SUMPRODUCT(--($B$2:$B$201=1),--(LEFT(Data!$B$2:$B$201,8)=LEFT(Data!B68,8)))&gt;1,1,0))</f>
        <v/>
      </c>
      <c r="H68" s="17" t="str">
        <f aca="false">IF($B68&lt;&gt;1,"",IF(Data!D68="",1,0))</f>
        <v/>
      </c>
      <c r="I68" s="17" t="str">
        <f aca="false">IF($A68="","",IF(AND(Data!J68&lt;&gt;"",ISNUMBER(Data!J68),Data!J68&lt;Settings!$B$2,Data!G68="Active"),1,0))</f>
        <v/>
      </c>
      <c r="J68" s="17" t="str">
        <f aca="false">IF($A68="","",IF($B68&lt;&gt;1,0,(1-N($C68))+(1-N($D68))+(1-N($E68))+N($F68)+N($G68)+N($H68)+N($I68)))</f>
        <v/>
      </c>
    </row>
    <row r="69" customFormat="false" ht="15" hidden="false" customHeight="false" outlineLevel="0" collapsed="false">
      <c r="A69" s="18" t="str">
        <f aca="false">IF(Data!A69="","",Data!A69)</f>
        <v/>
      </c>
      <c r="B69" s="18" t="str">
        <f aca="false">IF($A69="","",IF(Data!G69="Active",1,0))</f>
        <v/>
      </c>
      <c r="C69" s="18" t="str">
        <f aca="false">IF($B69&lt;&gt;1,"",IF(COUNTBLANK(Data!B69:H69)=0,1,0))</f>
        <v/>
      </c>
      <c r="D69" s="18" t="str">
        <f aca="false">IF($B69&lt;&gt;1,"",IF(LEFT(Data!E69,4)="OWN-",1,0))</f>
        <v/>
      </c>
      <c r="E69" s="18" t="str">
        <f aca="false">IF($B69&lt;&gt;1,"",IF(LEFT(Data!F69,4)="OWN-",1,0))</f>
        <v/>
      </c>
      <c r="F69" s="18" t="str">
        <f aca="false">IF($B69&lt;&gt;1,"",IF(OR(Data!I69="",(Settings!$B$2-Data!I69)&gt;Settings!$B$3),1,0))</f>
        <v/>
      </c>
      <c r="G69" s="18" t="str">
        <f aca="false">IF($B69&lt;&gt;1,"",IF(SUMPRODUCT(--($B$2:$B$201=1),--(LEFT(Data!$B$2:$B$201,8)=LEFT(Data!B69,8)))&gt;1,1,0))</f>
        <v/>
      </c>
      <c r="H69" s="18" t="str">
        <f aca="false">IF($B69&lt;&gt;1,"",IF(Data!D69="",1,0))</f>
        <v/>
      </c>
      <c r="I69" s="18" t="str">
        <f aca="false">IF($A69="","",IF(AND(Data!J69&lt;&gt;"",ISNUMBER(Data!J69),Data!J69&lt;Settings!$B$2,Data!G69="Active"),1,0))</f>
        <v/>
      </c>
      <c r="J69" s="18" t="str">
        <f aca="false">IF($A69="","",IF($B69&lt;&gt;1,0,(1-N($C69))+(1-N($D69))+(1-N($E69))+N($F69)+N($G69)+N($H69)+N($I69)))</f>
        <v/>
      </c>
    </row>
    <row r="70" customFormat="false" ht="15" hidden="false" customHeight="false" outlineLevel="0" collapsed="false">
      <c r="A70" s="17" t="str">
        <f aca="false">IF(Data!A70="","",Data!A70)</f>
        <v/>
      </c>
      <c r="B70" s="17" t="str">
        <f aca="false">IF($A70="","",IF(Data!G70="Active",1,0))</f>
        <v/>
      </c>
      <c r="C70" s="17" t="str">
        <f aca="false">IF($B70&lt;&gt;1,"",IF(COUNTBLANK(Data!B70:H70)=0,1,0))</f>
        <v/>
      </c>
      <c r="D70" s="17" t="str">
        <f aca="false">IF($B70&lt;&gt;1,"",IF(LEFT(Data!E70,4)="OWN-",1,0))</f>
        <v/>
      </c>
      <c r="E70" s="17" t="str">
        <f aca="false">IF($B70&lt;&gt;1,"",IF(LEFT(Data!F70,4)="OWN-",1,0))</f>
        <v/>
      </c>
      <c r="F70" s="17" t="str">
        <f aca="false">IF($B70&lt;&gt;1,"",IF(OR(Data!I70="",(Settings!$B$2-Data!I70)&gt;Settings!$B$3),1,0))</f>
        <v/>
      </c>
      <c r="G70" s="17" t="str">
        <f aca="false">IF($B70&lt;&gt;1,"",IF(SUMPRODUCT(--($B$2:$B$201=1),--(LEFT(Data!$B$2:$B$201,8)=LEFT(Data!B70,8)))&gt;1,1,0))</f>
        <v/>
      </c>
      <c r="H70" s="17" t="str">
        <f aca="false">IF($B70&lt;&gt;1,"",IF(Data!D70="",1,0))</f>
        <v/>
      </c>
      <c r="I70" s="17" t="str">
        <f aca="false">IF($A70="","",IF(AND(Data!J70&lt;&gt;"",ISNUMBER(Data!J70),Data!J70&lt;Settings!$B$2,Data!G70="Active"),1,0))</f>
        <v/>
      </c>
      <c r="J70" s="17" t="str">
        <f aca="false">IF($A70="","",IF($B70&lt;&gt;1,0,(1-N($C70))+(1-N($D70))+(1-N($E70))+N($F70)+N($G70)+N($H70)+N($I70)))</f>
        <v/>
      </c>
    </row>
    <row r="71" customFormat="false" ht="15" hidden="false" customHeight="false" outlineLevel="0" collapsed="false">
      <c r="A71" s="18" t="str">
        <f aca="false">IF(Data!A71="","",Data!A71)</f>
        <v/>
      </c>
      <c r="B71" s="18" t="str">
        <f aca="false">IF($A71="","",IF(Data!G71="Active",1,0))</f>
        <v/>
      </c>
      <c r="C71" s="18" t="str">
        <f aca="false">IF($B71&lt;&gt;1,"",IF(COUNTBLANK(Data!B71:H71)=0,1,0))</f>
        <v/>
      </c>
      <c r="D71" s="18" t="str">
        <f aca="false">IF($B71&lt;&gt;1,"",IF(LEFT(Data!E71,4)="OWN-",1,0))</f>
        <v/>
      </c>
      <c r="E71" s="18" t="str">
        <f aca="false">IF($B71&lt;&gt;1,"",IF(LEFT(Data!F71,4)="OWN-",1,0))</f>
        <v/>
      </c>
      <c r="F71" s="18" t="str">
        <f aca="false">IF($B71&lt;&gt;1,"",IF(OR(Data!I71="",(Settings!$B$2-Data!I71)&gt;Settings!$B$3),1,0))</f>
        <v/>
      </c>
      <c r="G71" s="18" t="str">
        <f aca="false">IF($B71&lt;&gt;1,"",IF(SUMPRODUCT(--($B$2:$B$201=1),--(LEFT(Data!$B$2:$B$201,8)=LEFT(Data!B71,8)))&gt;1,1,0))</f>
        <v/>
      </c>
      <c r="H71" s="18" t="str">
        <f aca="false">IF($B71&lt;&gt;1,"",IF(Data!D71="",1,0))</f>
        <v/>
      </c>
      <c r="I71" s="18" t="str">
        <f aca="false">IF($A71="","",IF(AND(Data!J71&lt;&gt;"",ISNUMBER(Data!J71),Data!J71&lt;Settings!$B$2,Data!G71="Active"),1,0))</f>
        <v/>
      </c>
      <c r="J71" s="18" t="str">
        <f aca="false">IF($A71="","",IF($B71&lt;&gt;1,0,(1-N($C71))+(1-N($D71))+(1-N($E71))+N($F71)+N($G71)+N($H71)+N($I71)))</f>
        <v/>
      </c>
    </row>
    <row r="72" customFormat="false" ht="15" hidden="false" customHeight="false" outlineLevel="0" collapsed="false">
      <c r="A72" s="17" t="str">
        <f aca="false">IF(Data!A72="","",Data!A72)</f>
        <v/>
      </c>
      <c r="B72" s="17" t="str">
        <f aca="false">IF($A72="","",IF(Data!G72="Active",1,0))</f>
        <v/>
      </c>
      <c r="C72" s="17" t="str">
        <f aca="false">IF($B72&lt;&gt;1,"",IF(COUNTBLANK(Data!B72:H72)=0,1,0))</f>
        <v/>
      </c>
      <c r="D72" s="17" t="str">
        <f aca="false">IF($B72&lt;&gt;1,"",IF(LEFT(Data!E72,4)="OWN-",1,0))</f>
        <v/>
      </c>
      <c r="E72" s="17" t="str">
        <f aca="false">IF($B72&lt;&gt;1,"",IF(LEFT(Data!F72,4)="OWN-",1,0))</f>
        <v/>
      </c>
      <c r="F72" s="17" t="str">
        <f aca="false">IF($B72&lt;&gt;1,"",IF(OR(Data!I72="",(Settings!$B$2-Data!I72)&gt;Settings!$B$3),1,0))</f>
        <v/>
      </c>
      <c r="G72" s="17" t="str">
        <f aca="false">IF($B72&lt;&gt;1,"",IF(SUMPRODUCT(--($B$2:$B$201=1),--(LEFT(Data!$B$2:$B$201,8)=LEFT(Data!B72,8)))&gt;1,1,0))</f>
        <v/>
      </c>
      <c r="H72" s="17" t="str">
        <f aca="false">IF($B72&lt;&gt;1,"",IF(Data!D72="",1,0))</f>
        <v/>
      </c>
      <c r="I72" s="17" t="str">
        <f aca="false">IF($A72="","",IF(AND(Data!J72&lt;&gt;"",ISNUMBER(Data!J72),Data!J72&lt;Settings!$B$2,Data!G72="Active"),1,0))</f>
        <v/>
      </c>
      <c r="J72" s="17" t="str">
        <f aca="false">IF($A72="","",IF($B72&lt;&gt;1,0,(1-N($C72))+(1-N($D72))+(1-N($E72))+N($F72)+N($G72)+N($H72)+N($I72)))</f>
        <v/>
      </c>
    </row>
    <row r="73" customFormat="false" ht="15" hidden="false" customHeight="false" outlineLevel="0" collapsed="false">
      <c r="A73" s="18" t="str">
        <f aca="false">IF(Data!A73="","",Data!A73)</f>
        <v/>
      </c>
      <c r="B73" s="18" t="str">
        <f aca="false">IF($A73="","",IF(Data!G73="Active",1,0))</f>
        <v/>
      </c>
      <c r="C73" s="18" t="str">
        <f aca="false">IF($B73&lt;&gt;1,"",IF(COUNTBLANK(Data!B73:H73)=0,1,0))</f>
        <v/>
      </c>
      <c r="D73" s="18" t="str">
        <f aca="false">IF($B73&lt;&gt;1,"",IF(LEFT(Data!E73,4)="OWN-",1,0))</f>
        <v/>
      </c>
      <c r="E73" s="18" t="str">
        <f aca="false">IF($B73&lt;&gt;1,"",IF(LEFT(Data!F73,4)="OWN-",1,0))</f>
        <v/>
      </c>
      <c r="F73" s="18" t="str">
        <f aca="false">IF($B73&lt;&gt;1,"",IF(OR(Data!I73="",(Settings!$B$2-Data!I73)&gt;Settings!$B$3),1,0))</f>
        <v/>
      </c>
      <c r="G73" s="18" t="str">
        <f aca="false">IF($B73&lt;&gt;1,"",IF(SUMPRODUCT(--($B$2:$B$201=1),--(LEFT(Data!$B$2:$B$201,8)=LEFT(Data!B73,8)))&gt;1,1,0))</f>
        <v/>
      </c>
      <c r="H73" s="18" t="str">
        <f aca="false">IF($B73&lt;&gt;1,"",IF(Data!D73="",1,0))</f>
        <v/>
      </c>
      <c r="I73" s="18" t="str">
        <f aca="false">IF($A73="","",IF(AND(Data!J73&lt;&gt;"",ISNUMBER(Data!J73),Data!J73&lt;Settings!$B$2,Data!G73="Active"),1,0))</f>
        <v/>
      </c>
      <c r="J73" s="18" t="str">
        <f aca="false">IF($A73="","",IF($B73&lt;&gt;1,0,(1-N($C73))+(1-N($D73))+(1-N($E73))+N($F73)+N($G73)+N($H73)+N($I73)))</f>
        <v/>
      </c>
    </row>
    <row r="74" customFormat="false" ht="15" hidden="false" customHeight="false" outlineLevel="0" collapsed="false">
      <c r="A74" s="17" t="str">
        <f aca="false">IF(Data!A74="","",Data!A74)</f>
        <v/>
      </c>
      <c r="B74" s="17" t="str">
        <f aca="false">IF($A74="","",IF(Data!G74="Active",1,0))</f>
        <v/>
      </c>
      <c r="C74" s="17" t="str">
        <f aca="false">IF($B74&lt;&gt;1,"",IF(COUNTBLANK(Data!B74:H74)=0,1,0))</f>
        <v/>
      </c>
      <c r="D74" s="17" t="str">
        <f aca="false">IF($B74&lt;&gt;1,"",IF(LEFT(Data!E74,4)="OWN-",1,0))</f>
        <v/>
      </c>
      <c r="E74" s="17" t="str">
        <f aca="false">IF($B74&lt;&gt;1,"",IF(LEFT(Data!F74,4)="OWN-",1,0))</f>
        <v/>
      </c>
      <c r="F74" s="17" t="str">
        <f aca="false">IF($B74&lt;&gt;1,"",IF(OR(Data!I74="",(Settings!$B$2-Data!I74)&gt;Settings!$B$3),1,0))</f>
        <v/>
      </c>
      <c r="G74" s="17" t="str">
        <f aca="false">IF($B74&lt;&gt;1,"",IF(SUMPRODUCT(--($B$2:$B$201=1),--(LEFT(Data!$B$2:$B$201,8)=LEFT(Data!B74,8)))&gt;1,1,0))</f>
        <v/>
      </c>
      <c r="H74" s="17" t="str">
        <f aca="false">IF($B74&lt;&gt;1,"",IF(Data!D74="",1,0))</f>
        <v/>
      </c>
      <c r="I74" s="17" t="str">
        <f aca="false">IF($A74="","",IF(AND(Data!J74&lt;&gt;"",ISNUMBER(Data!J74),Data!J74&lt;Settings!$B$2,Data!G74="Active"),1,0))</f>
        <v/>
      </c>
      <c r="J74" s="17" t="str">
        <f aca="false">IF($A74="","",IF($B74&lt;&gt;1,0,(1-N($C74))+(1-N($D74))+(1-N($E74))+N($F74)+N($G74)+N($H74)+N($I74)))</f>
        <v/>
      </c>
    </row>
    <row r="75" customFormat="false" ht="15" hidden="false" customHeight="false" outlineLevel="0" collapsed="false">
      <c r="A75" s="18" t="str">
        <f aca="false">IF(Data!A75="","",Data!A75)</f>
        <v/>
      </c>
      <c r="B75" s="18" t="str">
        <f aca="false">IF($A75="","",IF(Data!G75="Active",1,0))</f>
        <v/>
      </c>
      <c r="C75" s="18" t="str">
        <f aca="false">IF($B75&lt;&gt;1,"",IF(COUNTBLANK(Data!B75:H75)=0,1,0))</f>
        <v/>
      </c>
      <c r="D75" s="18" t="str">
        <f aca="false">IF($B75&lt;&gt;1,"",IF(LEFT(Data!E75,4)="OWN-",1,0))</f>
        <v/>
      </c>
      <c r="E75" s="18" t="str">
        <f aca="false">IF($B75&lt;&gt;1,"",IF(LEFT(Data!F75,4)="OWN-",1,0))</f>
        <v/>
      </c>
      <c r="F75" s="18" t="str">
        <f aca="false">IF($B75&lt;&gt;1,"",IF(OR(Data!I75="",(Settings!$B$2-Data!I75)&gt;Settings!$B$3),1,0))</f>
        <v/>
      </c>
      <c r="G75" s="18" t="str">
        <f aca="false">IF($B75&lt;&gt;1,"",IF(SUMPRODUCT(--($B$2:$B$201=1),--(LEFT(Data!$B$2:$B$201,8)=LEFT(Data!B75,8)))&gt;1,1,0))</f>
        <v/>
      </c>
      <c r="H75" s="18" t="str">
        <f aca="false">IF($B75&lt;&gt;1,"",IF(Data!D75="",1,0))</f>
        <v/>
      </c>
      <c r="I75" s="18" t="str">
        <f aca="false">IF($A75="","",IF(AND(Data!J75&lt;&gt;"",ISNUMBER(Data!J75),Data!J75&lt;Settings!$B$2,Data!G75="Active"),1,0))</f>
        <v/>
      </c>
      <c r="J75" s="18" t="str">
        <f aca="false">IF($A75="","",IF($B75&lt;&gt;1,0,(1-N($C75))+(1-N($D75))+(1-N($E75))+N($F75)+N($G75)+N($H75)+N($I75)))</f>
        <v/>
      </c>
    </row>
    <row r="76" customFormat="false" ht="15" hidden="false" customHeight="false" outlineLevel="0" collapsed="false">
      <c r="A76" s="17" t="str">
        <f aca="false">IF(Data!A76="","",Data!A76)</f>
        <v/>
      </c>
      <c r="B76" s="17" t="str">
        <f aca="false">IF($A76="","",IF(Data!G76="Active",1,0))</f>
        <v/>
      </c>
      <c r="C76" s="17" t="str">
        <f aca="false">IF($B76&lt;&gt;1,"",IF(COUNTBLANK(Data!B76:H76)=0,1,0))</f>
        <v/>
      </c>
      <c r="D76" s="17" t="str">
        <f aca="false">IF($B76&lt;&gt;1,"",IF(LEFT(Data!E76,4)="OWN-",1,0))</f>
        <v/>
      </c>
      <c r="E76" s="17" t="str">
        <f aca="false">IF($B76&lt;&gt;1,"",IF(LEFT(Data!F76,4)="OWN-",1,0))</f>
        <v/>
      </c>
      <c r="F76" s="17" t="str">
        <f aca="false">IF($B76&lt;&gt;1,"",IF(OR(Data!I76="",(Settings!$B$2-Data!I76)&gt;Settings!$B$3),1,0))</f>
        <v/>
      </c>
      <c r="G76" s="17" t="str">
        <f aca="false">IF($B76&lt;&gt;1,"",IF(SUMPRODUCT(--($B$2:$B$201=1),--(LEFT(Data!$B$2:$B$201,8)=LEFT(Data!B76,8)))&gt;1,1,0))</f>
        <v/>
      </c>
      <c r="H76" s="17" t="str">
        <f aca="false">IF($B76&lt;&gt;1,"",IF(Data!D76="",1,0))</f>
        <v/>
      </c>
      <c r="I76" s="17" t="str">
        <f aca="false">IF($A76="","",IF(AND(Data!J76&lt;&gt;"",ISNUMBER(Data!J76),Data!J76&lt;Settings!$B$2,Data!G76="Active"),1,0))</f>
        <v/>
      </c>
      <c r="J76" s="17" t="str">
        <f aca="false">IF($A76="","",IF($B76&lt;&gt;1,0,(1-N($C76))+(1-N($D76))+(1-N($E76))+N($F76)+N($G76)+N($H76)+N($I76)))</f>
        <v/>
      </c>
    </row>
    <row r="77" customFormat="false" ht="15" hidden="false" customHeight="false" outlineLevel="0" collapsed="false">
      <c r="A77" s="18" t="str">
        <f aca="false">IF(Data!A77="","",Data!A77)</f>
        <v/>
      </c>
      <c r="B77" s="18" t="str">
        <f aca="false">IF($A77="","",IF(Data!G77="Active",1,0))</f>
        <v/>
      </c>
      <c r="C77" s="18" t="str">
        <f aca="false">IF($B77&lt;&gt;1,"",IF(COUNTBLANK(Data!B77:H77)=0,1,0))</f>
        <v/>
      </c>
      <c r="D77" s="18" t="str">
        <f aca="false">IF($B77&lt;&gt;1,"",IF(LEFT(Data!E77,4)="OWN-",1,0))</f>
        <v/>
      </c>
      <c r="E77" s="18" t="str">
        <f aca="false">IF($B77&lt;&gt;1,"",IF(LEFT(Data!F77,4)="OWN-",1,0))</f>
        <v/>
      </c>
      <c r="F77" s="18" t="str">
        <f aca="false">IF($B77&lt;&gt;1,"",IF(OR(Data!I77="",(Settings!$B$2-Data!I77)&gt;Settings!$B$3),1,0))</f>
        <v/>
      </c>
      <c r="G77" s="18" t="str">
        <f aca="false">IF($B77&lt;&gt;1,"",IF(SUMPRODUCT(--($B$2:$B$201=1),--(LEFT(Data!$B$2:$B$201,8)=LEFT(Data!B77,8)))&gt;1,1,0))</f>
        <v/>
      </c>
      <c r="H77" s="18" t="str">
        <f aca="false">IF($B77&lt;&gt;1,"",IF(Data!D77="",1,0))</f>
        <v/>
      </c>
      <c r="I77" s="18" t="str">
        <f aca="false">IF($A77="","",IF(AND(Data!J77&lt;&gt;"",ISNUMBER(Data!J77),Data!J77&lt;Settings!$B$2,Data!G77="Active"),1,0))</f>
        <v/>
      </c>
      <c r="J77" s="18" t="str">
        <f aca="false">IF($A77="","",IF($B77&lt;&gt;1,0,(1-N($C77))+(1-N($D77))+(1-N($E77))+N($F77)+N($G77)+N($H77)+N($I77)))</f>
        <v/>
      </c>
    </row>
    <row r="78" customFormat="false" ht="15" hidden="false" customHeight="false" outlineLevel="0" collapsed="false">
      <c r="A78" s="17" t="str">
        <f aca="false">IF(Data!A78="","",Data!A78)</f>
        <v/>
      </c>
      <c r="B78" s="17" t="str">
        <f aca="false">IF($A78="","",IF(Data!G78="Active",1,0))</f>
        <v/>
      </c>
      <c r="C78" s="17" t="str">
        <f aca="false">IF($B78&lt;&gt;1,"",IF(COUNTBLANK(Data!B78:H78)=0,1,0))</f>
        <v/>
      </c>
      <c r="D78" s="17" t="str">
        <f aca="false">IF($B78&lt;&gt;1,"",IF(LEFT(Data!E78,4)="OWN-",1,0))</f>
        <v/>
      </c>
      <c r="E78" s="17" t="str">
        <f aca="false">IF($B78&lt;&gt;1,"",IF(LEFT(Data!F78,4)="OWN-",1,0))</f>
        <v/>
      </c>
      <c r="F78" s="17" t="str">
        <f aca="false">IF($B78&lt;&gt;1,"",IF(OR(Data!I78="",(Settings!$B$2-Data!I78)&gt;Settings!$B$3),1,0))</f>
        <v/>
      </c>
      <c r="G78" s="17" t="str">
        <f aca="false">IF($B78&lt;&gt;1,"",IF(SUMPRODUCT(--($B$2:$B$201=1),--(LEFT(Data!$B$2:$B$201,8)=LEFT(Data!B78,8)))&gt;1,1,0))</f>
        <v/>
      </c>
      <c r="H78" s="17" t="str">
        <f aca="false">IF($B78&lt;&gt;1,"",IF(Data!D78="",1,0))</f>
        <v/>
      </c>
      <c r="I78" s="17" t="str">
        <f aca="false">IF($A78="","",IF(AND(Data!J78&lt;&gt;"",ISNUMBER(Data!J78),Data!J78&lt;Settings!$B$2,Data!G78="Active"),1,0))</f>
        <v/>
      </c>
      <c r="J78" s="17" t="str">
        <f aca="false">IF($A78="","",IF($B78&lt;&gt;1,0,(1-N($C78))+(1-N($D78))+(1-N($E78))+N($F78)+N($G78)+N($H78)+N($I78)))</f>
        <v/>
      </c>
    </row>
    <row r="79" customFormat="false" ht="15" hidden="false" customHeight="false" outlineLevel="0" collapsed="false">
      <c r="A79" s="18" t="str">
        <f aca="false">IF(Data!A79="","",Data!A79)</f>
        <v/>
      </c>
      <c r="B79" s="18" t="str">
        <f aca="false">IF($A79="","",IF(Data!G79="Active",1,0))</f>
        <v/>
      </c>
      <c r="C79" s="18" t="str">
        <f aca="false">IF($B79&lt;&gt;1,"",IF(COUNTBLANK(Data!B79:H79)=0,1,0))</f>
        <v/>
      </c>
      <c r="D79" s="18" t="str">
        <f aca="false">IF($B79&lt;&gt;1,"",IF(LEFT(Data!E79,4)="OWN-",1,0))</f>
        <v/>
      </c>
      <c r="E79" s="18" t="str">
        <f aca="false">IF($B79&lt;&gt;1,"",IF(LEFT(Data!F79,4)="OWN-",1,0))</f>
        <v/>
      </c>
      <c r="F79" s="18" t="str">
        <f aca="false">IF($B79&lt;&gt;1,"",IF(OR(Data!I79="",(Settings!$B$2-Data!I79)&gt;Settings!$B$3),1,0))</f>
        <v/>
      </c>
      <c r="G79" s="18" t="str">
        <f aca="false">IF($B79&lt;&gt;1,"",IF(SUMPRODUCT(--($B$2:$B$201=1),--(LEFT(Data!$B$2:$B$201,8)=LEFT(Data!B79,8)))&gt;1,1,0))</f>
        <v/>
      </c>
      <c r="H79" s="18" t="str">
        <f aca="false">IF($B79&lt;&gt;1,"",IF(Data!D79="",1,0))</f>
        <v/>
      </c>
      <c r="I79" s="18" t="str">
        <f aca="false">IF($A79="","",IF(AND(Data!J79&lt;&gt;"",ISNUMBER(Data!J79),Data!J79&lt;Settings!$B$2,Data!G79="Active"),1,0))</f>
        <v/>
      </c>
      <c r="J79" s="18" t="str">
        <f aca="false">IF($A79="","",IF($B79&lt;&gt;1,0,(1-N($C79))+(1-N($D79))+(1-N($E79))+N($F79)+N($G79)+N($H79)+N($I79)))</f>
        <v/>
      </c>
    </row>
    <row r="80" customFormat="false" ht="15" hidden="false" customHeight="false" outlineLevel="0" collapsed="false">
      <c r="A80" s="17" t="str">
        <f aca="false">IF(Data!A80="","",Data!A80)</f>
        <v/>
      </c>
      <c r="B80" s="17" t="str">
        <f aca="false">IF($A80="","",IF(Data!G80="Active",1,0))</f>
        <v/>
      </c>
      <c r="C80" s="17" t="str">
        <f aca="false">IF($B80&lt;&gt;1,"",IF(COUNTBLANK(Data!B80:H80)=0,1,0))</f>
        <v/>
      </c>
      <c r="D80" s="17" t="str">
        <f aca="false">IF($B80&lt;&gt;1,"",IF(LEFT(Data!E80,4)="OWN-",1,0))</f>
        <v/>
      </c>
      <c r="E80" s="17" t="str">
        <f aca="false">IF($B80&lt;&gt;1,"",IF(LEFT(Data!F80,4)="OWN-",1,0))</f>
        <v/>
      </c>
      <c r="F80" s="17" t="str">
        <f aca="false">IF($B80&lt;&gt;1,"",IF(OR(Data!I80="",(Settings!$B$2-Data!I80)&gt;Settings!$B$3),1,0))</f>
        <v/>
      </c>
      <c r="G80" s="17" t="str">
        <f aca="false">IF($B80&lt;&gt;1,"",IF(SUMPRODUCT(--($B$2:$B$201=1),--(LEFT(Data!$B$2:$B$201,8)=LEFT(Data!B80,8)))&gt;1,1,0))</f>
        <v/>
      </c>
      <c r="H80" s="17" t="str">
        <f aca="false">IF($B80&lt;&gt;1,"",IF(Data!D80="",1,0))</f>
        <v/>
      </c>
      <c r="I80" s="17" t="str">
        <f aca="false">IF($A80="","",IF(AND(Data!J80&lt;&gt;"",ISNUMBER(Data!J80),Data!J80&lt;Settings!$B$2,Data!G80="Active"),1,0))</f>
        <v/>
      </c>
      <c r="J80" s="17" t="str">
        <f aca="false">IF($A80="","",IF($B80&lt;&gt;1,0,(1-N($C80))+(1-N($D80))+(1-N($E80))+N($F80)+N($G80)+N($H80)+N($I80)))</f>
        <v/>
      </c>
    </row>
    <row r="81" customFormat="false" ht="15" hidden="false" customHeight="false" outlineLevel="0" collapsed="false">
      <c r="A81" s="18" t="str">
        <f aca="false">IF(Data!A81="","",Data!A81)</f>
        <v/>
      </c>
      <c r="B81" s="18" t="str">
        <f aca="false">IF($A81="","",IF(Data!G81="Active",1,0))</f>
        <v/>
      </c>
      <c r="C81" s="18" t="str">
        <f aca="false">IF($B81&lt;&gt;1,"",IF(COUNTBLANK(Data!B81:H81)=0,1,0))</f>
        <v/>
      </c>
      <c r="D81" s="18" t="str">
        <f aca="false">IF($B81&lt;&gt;1,"",IF(LEFT(Data!E81,4)="OWN-",1,0))</f>
        <v/>
      </c>
      <c r="E81" s="18" t="str">
        <f aca="false">IF($B81&lt;&gt;1,"",IF(LEFT(Data!F81,4)="OWN-",1,0))</f>
        <v/>
      </c>
      <c r="F81" s="18" t="str">
        <f aca="false">IF($B81&lt;&gt;1,"",IF(OR(Data!I81="",(Settings!$B$2-Data!I81)&gt;Settings!$B$3),1,0))</f>
        <v/>
      </c>
      <c r="G81" s="18" t="str">
        <f aca="false">IF($B81&lt;&gt;1,"",IF(SUMPRODUCT(--($B$2:$B$201=1),--(LEFT(Data!$B$2:$B$201,8)=LEFT(Data!B81,8)))&gt;1,1,0))</f>
        <v/>
      </c>
      <c r="H81" s="18" t="str">
        <f aca="false">IF($B81&lt;&gt;1,"",IF(Data!D81="",1,0))</f>
        <v/>
      </c>
      <c r="I81" s="18" t="str">
        <f aca="false">IF($A81="","",IF(AND(Data!J81&lt;&gt;"",ISNUMBER(Data!J81),Data!J81&lt;Settings!$B$2,Data!G81="Active"),1,0))</f>
        <v/>
      </c>
      <c r="J81" s="18" t="str">
        <f aca="false">IF($A81="","",IF($B81&lt;&gt;1,0,(1-N($C81))+(1-N($D81))+(1-N($E81))+N($F81)+N($G81)+N($H81)+N($I81)))</f>
        <v/>
      </c>
    </row>
    <row r="82" customFormat="false" ht="15" hidden="false" customHeight="false" outlineLevel="0" collapsed="false">
      <c r="A82" s="17" t="str">
        <f aca="false">IF(Data!A82="","",Data!A82)</f>
        <v/>
      </c>
      <c r="B82" s="17" t="str">
        <f aca="false">IF($A82="","",IF(Data!G82="Active",1,0))</f>
        <v/>
      </c>
      <c r="C82" s="17" t="str">
        <f aca="false">IF($B82&lt;&gt;1,"",IF(COUNTBLANK(Data!B82:H82)=0,1,0))</f>
        <v/>
      </c>
      <c r="D82" s="17" t="str">
        <f aca="false">IF($B82&lt;&gt;1,"",IF(LEFT(Data!E82,4)="OWN-",1,0))</f>
        <v/>
      </c>
      <c r="E82" s="17" t="str">
        <f aca="false">IF($B82&lt;&gt;1,"",IF(LEFT(Data!F82,4)="OWN-",1,0))</f>
        <v/>
      </c>
      <c r="F82" s="17" t="str">
        <f aca="false">IF($B82&lt;&gt;1,"",IF(OR(Data!I82="",(Settings!$B$2-Data!I82)&gt;Settings!$B$3),1,0))</f>
        <v/>
      </c>
      <c r="G82" s="17" t="str">
        <f aca="false">IF($B82&lt;&gt;1,"",IF(SUMPRODUCT(--($B$2:$B$201=1),--(LEFT(Data!$B$2:$B$201,8)=LEFT(Data!B82,8)))&gt;1,1,0))</f>
        <v/>
      </c>
      <c r="H82" s="17" t="str">
        <f aca="false">IF($B82&lt;&gt;1,"",IF(Data!D82="",1,0))</f>
        <v/>
      </c>
      <c r="I82" s="17" t="str">
        <f aca="false">IF($A82="","",IF(AND(Data!J82&lt;&gt;"",ISNUMBER(Data!J82),Data!J82&lt;Settings!$B$2,Data!G82="Active"),1,0))</f>
        <v/>
      </c>
      <c r="J82" s="17" t="str">
        <f aca="false">IF($A82="","",IF($B82&lt;&gt;1,0,(1-N($C82))+(1-N($D82))+(1-N($E82))+N($F82)+N($G82)+N($H82)+N($I82)))</f>
        <v/>
      </c>
    </row>
    <row r="83" customFormat="false" ht="15" hidden="false" customHeight="false" outlineLevel="0" collapsed="false">
      <c r="A83" s="18" t="str">
        <f aca="false">IF(Data!A83="","",Data!A83)</f>
        <v/>
      </c>
      <c r="B83" s="18" t="str">
        <f aca="false">IF($A83="","",IF(Data!G83="Active",1,0))</f>
        <v/>
      </c>
      <c r="C83" s="18" t="str">
        <f aca="false">IF($B83&lt;&gt;1,"",IF(COUNTBLANK(Data!B83:H83)=0,1,0))</f>
        <v/>
      </c>
      <c r="D83" s="18" t="str">
        <f aca="false">IF($B83&lt;&gt;1,"",IF(LEFT(Data!E83,4)="OWN-",1,0))</f>
        <v/>
      </c>
      <c r="E83" s="18" t="str">
        <f aca="false">IF($B83&lt;&gt;1,"",IF(LEFT(Data!F83,4)="OWN-",1,0))</f>
        <v/>
      </c>
      <c r="F83" s="18" t="str">
        <f aca="false">IF($B83&lt;&gt;1,"",IF(OR(Data!I83="",(Settings!$B$2-Data!I83)&gt;Settings!$B$3),1,0))</f>
        <v/>
      </c>
      <c r="G83" s="18" t="str">
        <f aca="false">IF($B83&lt;&gt;1,"",IF(SUMPRODUCT(--($B$2:$B$201=1),--(LEFT(Data!$B$2:$B$201,8)=LEFT(Data!B83,8)))&gt;1,1,0))</f>
        <v/>
      </c>
      <c r="H83" s="18" t="str">
        <f aca="false">IF($B83&lt;&gt;1,"",IF(Data!D83="",1,0))</f>
        <v/>
      </c>
      <c r="I83" s="18" t="str">
        <f aca="false">IF($A83="","",IF(AND(Data!J83&lt;&gt;"",ISNUMBER(Data!J83),Data!J83&lt;Settings!$B$2,Data!G83="Active"),1,0))</f>
        <v/>
      </c>
      <c r="J83" s="18" t="str">
        <f aca="false">IF($A83="","",IF($B83&lt;&gt;1,0,(1-N($C83))+(1-N($D83))+(1-N($E83))+N($F83)+N($G83)+N($H83)+N($I83)))</f>
        <v/>
      </c>
    </row>
    <row r="84" customFormat="false" ht="15" hidden="false" customHeight="false" outlineLevel="0" collapsed="false">
      <c r="A84" s="17" t="str">
        <f aca="false">IF(Data!A84="","",Data!A84)</f>
        <v/>
      </c>
      <c r="B84" s="17" t="str">
        <f aca="false">IF($A84="","",IF(Data!G84="Active",1,0))</f>
        <v/>
      </c>
      <c r="C84" s="17" t="str">
        <f aca="false">IF($B84&lt;&gt;1,"",IF(COUNTBLANK(Data!B84:H84)=0,1,0))</f>
        <v/>
      </c>
      <c r="D84" s="17" t="str">
        <f aca="false">IF($B84&lt;&gt;1,"",IF(LEFT(Data!E84,4)="OWN-",1,0))</f>
        <v/>
      </c>
      <c r="E84" s="17" t="str">
        <f aca="false">IF($B84&lt;&gt;1,"",IF(LEFT(Data!F84,4)="OWN-",1,0))</f>
        <v/>
      </c>
      <c r="F84" s="17" t="str">
        <f aca="false">IF($B84&lt;&gt;1,"",IF(OR(Data!I84="",(Settings!$B$2-Data!I84)&gt;Settings!$B$3),1,0))</f>
        <v/>
      </c>
      <c r="G84" s="17" t="str">
        <f aca="false">IF($B84&lt;&gt;1,"",IF(SUMPRODUCT(--($B$2:$B$201=1),--(LEFT(Data!$B$2:$B$201,8)=LEFT(Data!B84,8)))&gt;1,1,0))</f>
        <v/>
      </c>
      <c r="H84" s="17" t="str">
        <f aca="false">IF($B84&lt;&gt;1,"",IF(Data!D84="",1,0))</f>
        <v/>
      </c>
      <c r="I84" s="17" t="str">
        <f aca="false">IF($A84="","",IF(AND(Data!J84&lt;&gt;"",ISNUMBER(Data!J84),Data!J84&lt;Settings!$B$2,Data!G84="Active"),1,0))</f>
        <v/>
      </c>
      <c r="J84" s="17" t="str">
        <f aca="false">IF($A84="","",IF($B84&lt;&gt;1,0,(1-N($C84))+(1-N($D84))+(1-N($E84))+N($F84)+N($G84)+N($H84)+N($I84)))</f>
        <v/>
      </c>
    </row>
    <row r="85" customFormat="false" ht="15" hidden="false" customHeight="false" outlineLevel="0" collapsed="false">
      <c r="A85" s="18" t="str">
        <f aca="false">IF(Data!A85="","",Data!A85)</f>
        <v/>
      </c>
      <c r="B85" s="18" t="str">
        <f aca="false">IF($A85="","",IF(Data!G85="Active",1,0))</f>
        <v/>
      </c>
      <c r="C85" s="18" t="str">
        <f aca="false">IF($B85&lt;&gt;1,"",IF(COUNTBLANK(Data!B85:H85)=0,1,0))</f>
        <v/>
      </c>
      <c r="D85" s="18" t="str">
        <f aca="false">IF($B85&lt;&gt;1,"",IF(LEFT(Data!E85,4)="OWN-",1,0))</f>
        <v/>
      </c>
      <c r="E85" s="18" t="str">
        <f aca="false">IF($B85&lt;&gt;1,"",IF(LEFT(Data!F85,4)="OWN-",1,0))</f>
        <v/>
      </c>
      <c r="F85" s="18" t="str">
        <f aca="false">IF($B85&lt;&gt;1,"",IF(OR(Data!I85="",(Settings!$B$2-Data!I85)&gt;Settings!$B$3),1,0))</f>
        <v/>
      </c>
      <c r="G85" s="18" t="str">
        <f aca="false">IF($B85&lt;&gt;1,"",IF(SUMPRODUCT(--($B$2:$B$201=1),--(LEFT(Data!$B$2:$B$201,8)=LEFT(Data!B85,8)))&gt;1,1,0))</f>
        <v/>
      </c>
      <c r="H85" s="18" t="str">
        <f aca="false">IF($B85&lt;&gt;1,"",IF(Data!D85="",1,0))</f>
        <v/>
      </c>
      <c r="I85" s="18" t="str">
        <f aca="false">IF($A85="","",IF(AND(Data!J85&lt;&gt;"",ISNUMBER(Data!J85),Data!J85&lt;Settings!$B$2,Data!G85="Active"),1,0))</f>
        <v/>
      </c>
      <c r="J85" s="18" t="str">
        <f aca="false">IF($A85="","",IF($B85&lt;&gt;1,0,(1-N($C85))+(1-N($D85))+(1-N($E85))+N($F85)+N($G85)+N($H85)+N($I85)))</f>
        <v/>
      </c>
    </row>
    <row r="86" customFormat="false" ht="15" hidden="false" customHeight="false" outlineLevel="0" collapsed="false">
      <c r="A86" s="17" t="str">
        <f aca="false">IF(Data!A86="","",Data!A86)</f>
        <v/>
      </c>
      <c r="B86" s="17" t="str">
        <f aca="false">IF($A86="","",IF(Data!G86="Active",1,0))</f>
        <v/>
      </c>
      <c r="C86" s="17" t="str">
        <f aca="false">IF($B86&lt;&gt;1,"",IF(COUNTBLANK(Data!B86:H86)=0,1,0))</f>
        <v/>
      </c>
      <c r="D86" s="17" t="str">
        <f aca="false">IF($B86&lt;&gt;1,"",IF(LEFT(Data!E86,4)="OWN-",1,0))</f>
        <v/>
      </c>
      <c r="E86" s="17" t="str">
        <f aca="false">IF($B86&lt;&gt;1,"",IF(LEFT(Data!F86,4)="OWN-",1,0))</f>
        <v/>
      </c>
      <c r="F86" s="17" t="str">
        <f aca="false">IF($B86&lt;&gt;1,"",IF(OR(Data!I86="",(Settings!$B$2-Data!I86)&gt;Settings!$B$3),1,0))</f>
        <v/>
      </c>
      <c r="G86" s="17" t="str">
        <f aca="false">IF($B86&lt;&gt;1,"",IF(SUMPRODUCT(--($B$2:$B$201=1),--(LEFT(Data!$B$2:$B$201,8)=LEFT(Data!B86,8)))&gt;1,1,0))</f>
        <v/>
      </c>
      <c r="H86" s="17" t="str">
        <f aca="false">IF($B86&lt;&gt;1,"",IF(Data!D86="",1,0))</f>
        <v/>
      </c>
      <c r="I86" s="17" t="str">
        <f aca="false">IF($A86="","",IF(AND(Data!J86&lt;&gt;"",ISNUMBER(Data!J86),Data!J86&lt;Settings!$B$2,Data!G86="Active"),1,0))</f>
        <v/>
      </c>
      <c r="J86" s="17" t="str">
        <f aca="false">IF($A86="","",IF($B86&lt;&gt;1,0,(1-N($C86))+(1-N($D86))+(1-N($E86))+N($F86)+N($G86)+N($H86)+N($I86)))</f>
        <v/>
      </c>
    </row>
    <row r="87" customFormat="false" ht="15" hidden="false" customHeight="false" outlineLevel="0" collapsed="false">
      <c r="A87" s="18" t="str">
        <f aca="false">IF(Data!A87="","",Data!A87)</f>
        <v/>
      </c>
      <c r="B87" s="18" t="str">
        <f aca="false">IF($A87="","",IF(Data!G87="Active",1,0))</f>
        <v/>
      </c>
      <c r="C87" s="18" t="str">
        <f aca="false">IF($B87&lt;&gt;1,"",IF(COUNTBLANK(Data!B87:H87)=0,1,0))</f>
        <v/>
      </c>
      <c r="D87" s="18" t="str">
        <f aca="false">IF($B87&lt;&gt;1,"",IF(LEFT(Data!E87,4)="OWN-",1,0))</f>
        <v/>
      </c>
      <c r="E87" s="18" t="str">
        <f aca="false">IF($B87&lt;&gt;1,"",IF(LEFT(Data!F87,4)="OWN-",1,0))</f>
        <v/>
      </c>
      <c r="F87" s="18" t="str">
        <f aca="false">IF($B87&lt;&gt;1,"",IF(OR(Data!I87="",(Settings!$B$2-Data!I87)&gt;Settings!$B$3),1,0))</f>
        <v/>
      </c>
      <c r="G87" s="18" t="str">
        <f aca="false">IF($B87&lt;&gt;1,"",IF(SUMPRODUCT(--($B$2:$B$201=1),--(LEFT(Data!$B$2:$B$201,8)=LEFT(Data!B87,8)))&gt;1,1,0))</f>
        <v/>
      </c>
      <c r="H87" s="18" t="str">
        <f aca="false">IF($B87&lt;&gt;1,"",IF(Data!D87="",1,0))</f>
        <v/>
      </c>
      <c r="I87" s="18" t="str">
        <f aca="false">IF($A87="","",IF(AND(Data!J87&lt;&gt;"",ISNUMBER(Data!J87),Data!J87&lt;Settings!$B$2,Data!G87="Active"),1,0))</f>
        <v/>
      </c>
      <c r="J87" s="18" t="str">
        <f aca="false">IF($A87="","",IF($B87&lt;&gt;1,0,(1-N($C87))+(1-N($D87))+(1-N($E87))+N($F87)+N($G87)+N($H87)+N($I87)))</f>
        <v/>
      </c>
    </row>
    <row r="88" customFormat="false" ht="15" hidden="false" customHeight="false" outlineLevel="0" collapsed="false">
      <c r="A88" s="17" t="str">
        <f aca="false">IF(Data!A88="","",Data!A88)</f>
        <v/>
      </c>
      <c r="B88" s="17" t="str">
        <f aca="false">IF($A88="","",IF(Data!G88="Active",1,0))</f>
        <v/>
      </c>
      <c r="C88" s="17" t="str">
        <f aca="false">IF($B88&lt;&gt;1,"",IF(COUNTBLANK(Data!B88:H88)=0,1,0))</f>
        <v/>
      </c>
      <c r="D88" s="17" t="str">
        <f aca="false">IF($B88&lt;&gt;1,"",IF(LEFT(Data!E88,4)="OWN-",1,0))</f>
        <v/>
      </c>
      <c r="E88" s="17" t="str">
        <f aca="false">IF($B88&lt;&gt;1,"",IF(LEFT(Data!F88,4)="OWN-",1,0))</f>
        <v/>
      </c>
      <c r="F88" s="17" t="str">
        <f aca="false">IF($B88&lt;&gt;1,"",IF(OR(Data!I88="",(Settings!$B$2-Data!I88)&gt;Settings!$B$3),1,0))</f>
        <v/>
      </c>
      <c r="G88" s="17" t="str">
        <f aca="false">IF($B88&lt;&gt;1,"",IF(SUMPRODUCT(--($B$2:$B$201=1),--(LEFT(Data!$B$2:$B$201,8)=LEFT(Data!B88,8)))&gt;1,1,0))</f>
        <v/>
      </c>
      <c r="H88" s="17" t="str">
        <f aca="false">IF($B88&lt;&gt;1,"",IF(Data!D88="",1,0))</f>
        <v/>
      </c>
      <c r="I88" s="17" t="str">
        <f aca="false">IF($A88="","",IF(AND(Data!J88&lt;&gt;"",ISNUMBER(Data!J88),Data!J88&lt;Settings!$B$2,Data!G88="Active"),1,0))</f>
        <v/>
      </c>
      <c r="J88" s="17" t="str">
        <f aca="false">IF($A88="","",IF($B88&lt;&gt;1,0,(1-N($C88))+(1-N($D88))+(1-N($E88))+N($F88)+N($G88)+N($H88)+N($I88)))</f>
        <v/>
      </c>
    </row>
    <row r="89" customFormat="false" ht="15" hidden="false" customHeight="false" outlineLevel="0" collapsed="false">
      <c r="A89" s="18" t="str">
        <f aca="false">IF(Data!A89="","",Data!A89)</f>
        <v/>
      </c>
      <c r="B89" s="18" t="str">
        <f aca="false">IF($A89="","",IF(Data!G89="Active",1,0))</f>
        <v/>
      </c>
      <c r="C89" s="18" t="str">
        <f aca="false">IF($B89&lt;&gt;1,"",IF(COUNTBLANK(Data!B89:H89)=0,1,0))</f>
        <v/>
      </c>
      <c r="D89" s="18" t="str">
        <f aca="false">IF($B89&lt;&gt;1,"",IF(LEFT(Data!E89,4)="OWN-",1,0))</f>
        <v/>
      </c>
      <c r="E89" s="18" t="str">
        <f aca="false">IF($B89&lt;&gt;1,"",IF(LEFT(Data!F89,4)="OWN-",1,0))</f>
        <v/>
      </c>
      <c r="F89" s="18" t="str">
        <f aca="false">IF($B89&lt;&gt;1,"",IF(OR(Data!I89="",(Settings!$B$2-Data!I89)&gt;Settings!$B$3),1,0))</f>
        <v/>
      </c>
      <c r="G89" s="18" t="str">
        <f aca="false">IF($B89&lt;&gt;1,"",IF(SUMPRODUCT(--($B$2:$B$201=1),--(LEFT(Data!$B$2:$B$201,8)=LEFT(Data!B89,8)))&gt;1,1,0))</f>
        <v/>
      </c>
      <c r="H89" s="18" t="str">
        <f aca="false">IF($B89&lt;&gt;1,"",IF(Data!D89="",1,0))</f>
        <v/>
      </c>
      <c r="I89" s="18" t="str">
        <f aca="false">IF($A89="","",IF(AND(Data!J89&lt;&gt;"",ISNUMBER(Data!J89),Data!J89&lt;Settings!$B$2,Data!G89="Active"),1,0))</f>
        <v/>
      </c>
      <c r="J89" s="18" t="str">
        <f aca="false">IF($A89="","",IF($B89&lt;&gt;1,0,(1-N($C89))+(1-N($D89))+(1-N($E89))+N($F89)+N($G89)+N($H89)+N($I89)))</f>
        <v/>
      </c>
    </row>
    <row r="90" customFormat="false" ht="15" hidden="false" customHeight="false" outlineLevel="0" collapsed="false">
      <c r="A90" s="17" t="str">
        <f aca="false">IF(Data!A90="","",Data!A90)</f>
        <v/>
      </c>
      <c r="B90" s="17" t="str">
        <f aca="false">IF($A90="","",IF(Data!G90="Active",1,0))</f>
        <v/>
      </c>
      <c r="C90" s="17" t="str">
        <f aca="false">IF($B90&lt;&gt;1,"",IF(COUNTBLANK(Data!B90:H90)=0,1,0))</f>
        <v/>
      </c>
      <c r="D90" s="17" t="str">
        <f aca="false">IF($B90&lt;&gt;1,"",IF(LEFT(Data!E90,4)="OWN-",1,0))</f>
        <v/>
      </c>
      <c r="E90" s="17" t="str">
        <f aca="false">IF($B90&lt;&gt;1,"",IF(LEFT(Data!F90,4)="OWN-",1,0))</f>
        <v/>
      </c>
      <c r="F90" s="17" t="str">
        <f aca="false">IF($B90&lt;&gt;1,"",IF(OR(Data!I90="",(Settings!$B$2-Data!I90)&gt;Settings!$B$3),1,0))</f>
        <v/>
      </c>
      <c r="G90" s="17" t="str">
        <f aca="false">IF($B90&lt;&gt;1,"",IF(SUMPRODUCT(--($B$2:$B$201=1),--(LEFT(Data!$B$2:$B$201,8)=LEFT(Data!B90,8)))&gt;1,1,0))</f>
        <v/>
      </c>
      <c r="H90" s="17" t="str">
        <f aca="false">IF($B90&lt;&gt;1,"",IF(Data!D90="",1,0))</f>
        <v/>
      </c>
      <c r="I90" s="17" t="str">
        <f aca="false">IF($A90="","",IF(AND(Data!J90&lt;&gt;"",ISNUMBER(Data!J90),Data!J90&lt;Settings!$B$2,Data!G90="Active"),1,0))</f>
        <v/>
      </c>
      <c r="J90" s="17" t="str">
        <f aca="false">IF($A90="","",IF($B90&lt;&gt;1,0,(1-N($C90))+(1-N($D90))+(1-N($E90))+N($F90)+N($G90)+N($H90)+N($I90)))</f>
        <v/>
      </c>
    </row>
    <row r="91" customFormat="false" ht="15" hidden="false" customHeight="false" outlineLevel="0" collapsed="false">
      <c r="A91" s="18" t="str">
        <f aca="false">IF(Data!A91="","",Data!A91)</f>
        <v/>
      </c>
      <c r="B91" s="18" t="str">
        <f aca="false">IF($A91="","",IF(Data!G91="Active",1,0))</f>
        <v/>
      </c>
      <c r="C91" s="18" t="str">
        <f aca="false">IF($B91&lt;&gt;1,"",IF(COUNTBLANK(Data!B91:H91)=0,1,0))</f>
        <v/>
      </c>
      <c r="D91" s="18" t="str">
        <f aca="false">IF($B91&lt;&gt;1,"",IF(LEFT(Data!E91,4)="OWN-",1,0))</f>
        <v/>
      </c>
      <c r="E91" s="18" t="str">
        <f aca="false">IF($B91&lt;&gt;1,"",IF(LEFT(Data!F91,4)="OWN-",1,0))</f>
        <v/>
      </c>
      <c r="F91" s="18" t="str">
        <f aca="false">IF($B91&lt;&gt;1,"",IF(OR(Data!I91="",(Settings!$B$2-Data!I91)&gt;Settings!$B$3),1,0))</f>
        <v/>
      </c>
      <c r="G91" s="18" t="str">
        <f aca="false">IF($B91&lt;&gt;1,"",IF(SUMPRODUCT(--($B$2:$B$201=1),--(LEFT(Data!$B$2:$B$201,8)=LEFT(Data!B91,8)))&gt;1,1,0))</f>
        <v/>
      </c>
      <c r="H91" s="18" t="str">
        <f aca="false">IF($B91&lt;&gt;1,"",IF(Data!D91="",1,0))</f>
        <v/>
      </c>
      <c r="I91" s="18" t="str">
        <f aca="false">IF($A91="","",IF(AND(Data!J91&lt;&gt;"",ISNUMBER(Data!J91),Data!J91&lt;Settings!$B$2,Data!G91="Active"),1,0))</f>
        <v/>
      </c>
      <c r="J91" s="18" t="str">
        <f aca="false">IF($A91="","",IF($B91&lt;&gt;1,0,(1-N($C91))+(1-N($D91))+(1-N($E91))+N($F91)+N($G91)+N($H91)+N($I91)))</f>
        <v/>
      </c>
    </row>
    <row r="92" customFormat="false" ht="15" hidden="false" customHeight="false" outlineLevel="0" collapsed="false">
      <c r="A92" s="17" t="str">
        <f aca="false">IF(Data!A92="","",Data!A92)</f>
        <v/>
      </c>
      <c r="B92" s="17" t="str">
        <f aca="false">IF($A92="","",IF(Data!G92="Active",1,0))</f>
        <v/>
      </c>
      <c r="C92" s="17" t="str">
        <f aca="false">IF($B92&lt;&gt;1,"",IF(COUNTBLANK(Data!B92:H92)=0,1,0))</f>
        <v/>
      </c>
      <c r="D92" s="17" t="str">
        <f aca="false">IF($B92&lt;&gt;1,"",IF(LEFT(Data!E92,4)="OWN-",1,0))</f>
        <v/>
      </c>
      <c r="E92" s="17" t="str">
        <f aca="false">IF($B92&lt;&gt;1,"",IF(LEFT(Data!F92,4)="OWN-",1,0))</f>
        <v/>
      </c>
      <c r="F92" s="17" t="str">
        <f aca="false">IF($B92&lt;&gt;1,"",IF(OR(Data!I92="",(Settings!$B$2-Data!I92)&gt;Settings!$B$3),1,0))</f>
        <v/>
      </c>
      <c r="G92" s="17" t="str">
        <f aca="false">IF($B92&lt;&gt;1,"",IF(SUMPRODUCT(--($B$2:$B$201=1),--(LEFT(Data!$B$2:$B$201,8)=LEFT(Data!B92,8)))&gt;1,1,0))</f>
        <v/>
      </c>
      <c r="H92" s="17" t="str">
        <f aca="false">IF($B92&lt;&gt;1,"",IF(Data!D92="",1,0))</f>
        <v/>
      </c>
      <c r="I92" s="17" t="str">
        <f aca="false">IF($A92="","",IF(AND(Data!J92&lt;&gt;"",ISNUMBER(Data!J92),Data!J92&lt;Settings!$B$2,Data!G92="Active"),1,0))</f>
        <v/>
      </c>
      <c r="J92" s="17" t="str">
        <f aca="false">IF($A92="","",IF($B92&lt;&gt;1,0,(1-N($C92))+(1-N($D92))+(1-N($E92))+N($F92)+N($G92)+N($H92)+N($I92)))</f>
        <v/>
      </c>
    </row>
    <row r="93" customFormat="false" ht="15" hidden="false" customHeight="false" outlineLevel="0" collapsed="false">
      <c r="A93" s="18" t="str">
        <f aca="false">IF(Data!A93="","",Data!A93)</f>
        <v/>
      </c>
      <c r="B93" s="18" t="str">
        <f aca="false">IF($A93="","",IF(Data!G93="Active",1,0))</f>
        <v/>
      </c>
      <c r="C93" s="18" t="str">
        <f aca="false">IF($B93&lt;&gt;1,"",IF(COUNTBLANK(Data!B93:H93)=0,1,0))</f>
        <v/>
      </c>
      <c r="D93" s="18" t="str">
        <f aca="false">IF($B93&lt;&gt;1,"",IF(LEFT(Data!E93,4)="OWN-",1,0))</f>
        <v/>
      </c>
      <c r="E93" s="18" t="str">
        <f aca="false">IF($B93&lt;&gt;1,"",IF(LEFT(Data!F93,4)="OWN-",1,0))</f>
        <v/>
      </c>
      <c r="F93" s="18" t="str">
        <f aca="false">IF($B93&lt;&gt;1,"",IF(OR(Data!I93="",(Settings!$B$2-Data!I93)&gt;Settings!$B$3),1,0))</f>
        <v/>
      </c>
      <c r="G93" s="18" t="str">
        <f aca="false">IF($B93&lt;&gt;1,"",IF(SUMPRODUCT(--($B$2:$B$201=1),--(LEFT(Data!$B$2:$B$201,8)=LEFT(Data!B93,8)))&gt;1,1,0))</f>
        <v/>
      </c>
      <c r="H93" s="18" t="str">
        <f aca="false">IF($B93&lt;&gt;1,"",IF(Data!D93="",1,0))</f>
        <v/>
      </c>
      <c r="I93" s="18" t="str">
        <f aca="false">IF($A93="","",IF(AND(Data!J93&lt;&gt;"",ISNUMBER(Data!J93),Data!J93&lt;Settings!$B$2,Data!G93="Active"),1,0))</f>
        <v/>
      </c>
      <c r="J93" s="18" t="str">
        <f aca="false">IF($A93="","",IF($B93&lt;&gt;1,0,(1-N($C93))+(1-N($D93))+(1-N($E93))+N($F93)+N($G93)+N($H93)+N($I93)))</f>
        <v/>
      </c>
    </row>
    <row r="94" customFormat="false" ht="15" hidden="false" customHeight="false" outlineLevel="0" collapsed="false">
      <c r="A94" s="17" t="str">
        <f aca="false">IF(Data!A94="","",Data!A94)</f>
        <v/>
      </c>
      <c r="B94" s="17" t="str">
        <f aca="false">IF($A94="","",IF(Data!G94="Active",1,0))</f>
        <v/>
      </c>
      <c r="C94" s="17" t="str">
        <f aca="false">IF($B94&lt;&gt;1,"",IF(COUNTBLANK(Data!B94:H94)=0,1,0))</f>
        <v/>
      </c>
      <c r="D94" s="17" t="str">
        <f aca="false">IF($B94&lt;&gt;1,"",IF(LEFT(Data!E94,4)="OWN-",1,0))</f>
        <v/>
      </c>
      <c r="E94" s="17" t="str">
        <f aca="false">IF($B94&lt;&gt;1,"",IF(LEFT(Data!F94,4)="OWN-",1,0))</f>
        <v/>
      </c>
      <c r="F94" s="17" t="str">
        <f aca="false">IF($B94&lt;&gt;1,"",IF(OR(Data!I94="",(Settings!$B$2-Data!I94)&gt;Settings!$B$3),1,0))</f>
        <v/>
      </c>
      <c r="G94" s="17" t="str">
        <f aca="false">IF($B94&lt;&gt;1,"",IF(SUMPRODUCT(--($B$2:$B$201=1),--(LEFT(Data!$B$2:$B$201,8)=LEFT(Data!B94,8)))&gt;1,1,0))</f>
        <v/>
      </c>
      <c r="H94" s="17" t="str">
        <f aca="false">IF($B94&lt;&gt;1,"",IF(Data!D94="",1,0))</f>
        <v/>
      </c>
      <c r="I94" s="17" t="str">
        <f aca="false">IF($A94="","",IF(AND(Data!J94&lt;&gt;"",ISNUMBER(Data!J94),Data!J94&lt;Settings!$B$2,Data!G94="Active"),1,0))</f>
        <v/>
      </c>
      <c r="J94" s="17" t="str">
        <f aca="false">IF($A94="","",IF($B94&lt;&gt;1,0,(1-N($C94))+(1-N($D94))+(1-N($E94))+N($F94)+N($G94)+N($H94)+N($I94)))</f>
        <v/>
      </c>
    </row>
    <row r="95" customFormat="false" ht="15" hidden="false" customHeight="false" outlineLevel="0" collapsed="false">
      <c r="A95" s="18" t="str">
        <f aca="false">IF(Data!A95="","",Data!A95)</f>
        <v/>
      </c>
      <c r="B95" s="18" t="str">
        <f aca="false">IF($A95="","",IF(Data!G95="Active",1,0))</f>
        <v/>
      </c>
      <c r="C95" s="18" t="str">
        <f aca="false">IF($B95&lt;&gt;1,"",IF(COUNTBLANK(Data!B95:H95)=0,1,0))</f>
        <v/>
      </c>
      <c r="D95" s="18" t="str">
        <f aca="false">IF($B95&lt;&gt;1,"",IF(LEFT(Data!E95,4)="OWN-",1,0))</f>
        <v/>
      </c>
      <c r="E95" s="18" t="str">
        <f aca="false">IF($B95&lt;&gt;1,"",IF(LEFT(Data!F95,4)="OWN-",1,0))</f>
        <v/>
      </c>
      <c r="F95" s="18" t="str">
        <f aca="false">IF($B95&lt;&gt;1,"",IF(OR(Data!I95="",(Settings!$B$2-Data!I95)&gt;Settings!$B$3),1,0))</f>
        <v/>
      </c>
      <c r="G95" s="18" t="str">
        <f aca="false">IF($B95&lt;&gt;1,"",IF(SUMPRODUCT(--($B$2:$B$201=1),--(LEFT(Data!$B$2:$B$201,8)=LEFT(Data!B95,8)))&gt;1,1,0))</f>
        <v/>
      </c>
      <c r="H95" s="18" t="str">
        <f aca="false">IF($B95&lt;&gt;1,"",IF(Data!D95="",1,0))</f>
        <v/>
      </c>
      <c r="I95" s="18" t="str">
        <f aca="false">IF($A95="","",IF(AND(Data!J95&lt;&gt;"",ISNUMBER(Data!J95),Data!J95&lt;Settings!$B$2,Data!G95="Active"),1,0))</f>
        <v/>
      </c>
      <c r="J95" s="18" t="str">
        <f aca="false">IF($A95="","",IF($B95&lt;&gt;1,0,(1-N($C95))+(1-N($D95))+(1-N($E95))+N($F95)+N($G95)+N($H95)+N($I95)))</f>
        <v/>
      </c>
    </row>
    <row r="96" customFormat="false" ht="15" hidden="false" customHeight="false" outlineLevel="0" collapsed="false">
      <c r="A96" s="17" t="str">
        <f aca="false">IF(Data!A96="","",Data!A96)</f>
        <v/>
      </c>
      <c r="B96" s="17" t="str">
        <f aca="false">IF($A96="","",IF(Data!G96="Active",1,0))</f>
        <v/>
      </c>
      <c r="C96" s="17" t="str">
        <f aca="false">IF($B96&lt;&gt;1,"",IF(COUNTBLANK(Data!B96:H96)=0,1,0))</f>
        <v/>
      </c>
      <c r="D96" s="17" t="str">
        <f aca="false">IF($B96&lt;&gt;1,"",IF(LEFT(Data!E96,4)="OWN-",1,0))</f>
        <v/>
      </c>
      <c r="E96" s="17" t="str">
        <f aca="false">IF($B96&lt;&gt;1,"",IF(LEFT(Data!F96,4)="OWN-",1,0))</f>
        <v/>
      </c>
      <c r="F96" s="17" t="str">
        <f aca="false">IF($B96&lt;&gt;1,"",IF(OR(Data!I96="",(Settings!$B$2-Data!I96)&gt;Settings!$B$3),1,0))</f>
        <v/>
      </c>
      <c r="G96" s="17" t="str">
        <f aca="false">IF($B96&lt;&gt;1,"",IF(SUMPRODUCT(--($B$2:$B$201=1),--(LEFT(Data!$B$2:$B$201,8)=LEFT(Data!B96,8)))&gt;1,1,0))</f>
        <v/>
      </c>
      <c r="H96" s="17" t="str">
        <f aca="false">IF($B96&lt;&gt;1,"",IF(Data!D96="",1,0))</f>
        <v/>
      </c>
      <c r="I96" s="17" t="str">
        <f aca="false">IF($A96="","",IF(AND(Data!J96&lt;&gt;"",ISNUMBER(Data!J96),Data!J96&lt;Settings!$B$2,Data!G96="Active"),1,0))</f>
        <v/>
      </c>
      <c r="J96" s="17" t="str">
        <f aca="false">IF($A96="","",IF($B96&lt;&gt;1,0,(1-N($C96))+(1-N($D96))+(1-N($E96))+N($F96)+N($G96)+N($H96)+N($I96)))</f>
        <v/>
      </c>
    </row>
    <row r="97" customFormat="false" ht="15" hidden="false" customHeight="false" outlineLevel="0" collapsed="false">
      <c r="A97" s="18" t="str">
        <f aca="false">IF(Data!A97="","",Data!A97)</f>
        <v/>
      </c>
      <c r="B97" s="18" t="str">
        <f aca="false">IF($A97="","",IF(Data!G97="Active",1,0))</f>
        <v/>
      </c>
      <c r="C97" s="18" t="str">
        <f aca="false">IF($B97&lt;&gt;1,"",IF(COUNTBLANK(Data!B97:H97)=0,1,0))</f>
        <v/>
      </c>
      <c r="D97" s="18" t="str">
        <f aca="false">IF($B97&lt;&gt;1,"",IF(LEFT(Data!E97,4)="OWN-",1,0))</f>
        <v/>
      </c>
      <c r="E97" s="18" t="str">
        <f aca="false">IF($B97&lt;&gt;1,"",IF(LEFT(Data!F97,4)="OWN-",1,0))</f>
        <v/>
      </c>
      <c r="F97" s="18" t="str">
        <f aca="false">IF($B97&lt;&gt;1,"",IF(OR(Data!I97="",(Settings!$B$2-Data!I97)&gt;Settings!$B$3),1,0))</f>
        <v/>
      </c>
      <c r="G97" s="18" t="str">
        <f aca="false">IF($B97&lt;&gt;1,"",IF(SUMPRODUCT(--($B$2:$B$201=1),--(LEFT(Data!$B$2:$B$201,8)=LEFT(Data!B97,8)))&gt;1,1,0))</f>
        <v/>
      </c>
      <c r="H97" s="18" t="str">
        <f aca="false">IF($B97&lt;&gt;1,"",IF(Data!D97="",1,0))</f>
        <v/>
      </c>
      <c r="I97" s="18" t="str">
        <f aca="false">IF($A97="","",IF(AND(Data!J97&lt;&gt;"",ISNUMBER(Data!J97),Data!J97&lt;Settings!$B$2,Data!G97="Active"),1,0))</f>
        <v/>
      </c>
      <c r="J97" s="18" t="str">
        <f aca="false">IF($A97="","",IF($B97&lt;&gt;1,0,(1-N($C97))+(1-N($D97))+(1-N($E97))+N($F97)+N($G97)+N($H97)+N($I97)))</f>
        <v/>
      </c>
    </row>
    <row r="98" customFormat="false" ht="15" hidden="false" customHeight="false" outlineLevel="0" collapsed="false">
      <c r="A98" s="17" t="str">
        <f aca="false">IF(Data!A98="","",Data!A98)</f>
        <v/>
      </c>
      <c r="B98" s="17" t="str">
        <f aca="false">IF($A98="","",IF(Data!G98="Active",1,0))</f>
        <v/>
      </c>
      <c r="C98" s="17" t="str">
        <f aca="false">IF($B98&lt;&gt;1,"",IF(COUNTBLANK(Data!B98:H98)=0,1,0))</f>
        <v/>
      </c>
      <c r="D98" s="17" t="str">
        <f aca="false">IF($B98&lt;&gt;1,"",IF(LEFT(Data!E98,4)="OWN-",1,0))</f>
        <v/>
      </c>
      <c r="E98" s="17" t="str">
        <f aca="false">IF($B98&lt;&gt;1,"",IF(LEFT(Data!F98,4)="OWN-",1,0))</f>
        <v/>
      </c>
      <c r="F98" s="17" t="str">
        <f aca="false">IF($B98&lt;&gt;1,"",IF(OR(Data!I98="",(Settings!$B$2-Data!I98)&gt;Settings!$B$3),1,0))</f>
        <v/>
      </c>
      <c r="G98" s="17" t="str">
        <f aca="false">IF($B98&lt;&gt;1,"",IF(SUMPRODUCT(--($B$2:$B$201=1),--(LEFT(Data!$B$2:$B$201,8)=LEFT(Data!B98,8)))&gt;1,1,0))</f>
        <v/>
      </c>
      <c r="H98" s="17" t="str">
        <f aca="false">IF($B98&lt;&gt;1,"",IF(Data!D98="",1,0))</f>
        <v/>
      </c>
      <c r="I98" s="17" t="str">
        <f aca="false">IF($A98="","",IF(AND(Data!J98&lt;&gt;"",ISNUMBER(Data!J98),Data!J98&lt;Settings!$B$2,Data!G98="Active"),1,0))</f>
        <v/>
      </c>
      <c r="J98" s="17" t="str">
        <f aca="false">IF($A98="","",IF($B98&lt;&gt;1,0,(1-N($C98))+(1-N($D98))+(1-N($E98))+N($F98)+N($G98)+N($H98)+N($I98)))</f>
        <v/>
      </c>
    </row>
    <row r="99" customFormat="false" ht="15" hidden="false" customHeight="false" outlineLevel="0" collapsed="false">
      <c r="A99" s="18" t="str">
        <f aca="false">IF(Data!A99="","",Data!A99)</f>
        <v/>
      </c>
      <c r="B99" s="18" t="str">
        <f aca="false">IF($A99="","",IF(Data!G99="Active",1,0))</f>
        <v/>
      </c>
      <c r="C99" s="18" t="str">
        <f aca="false">IF($B99&lt;&gt;1,"",IF(COUNTBLANK(Data!B99:H99)=0,1,0))</f>
        <v/>
      </c>
      <c r="D99" s="18" t="str">
        <f aca="false">IF($B99&lt;&gt;1,"",IF(LEFT(Data!E99,4)="OWN-",1,0))</f>
        <v/>
      </c>
      <c r="E99" s="18" t="str">
        <f aca="false">IF($B99&lt;&gt;1,"",IF(LEFT(Data!F99,4)="OWN-",1,0))</f>
        <v/>
      </c>
      <c r="F99" s="18" t="str">
        <f aca="false">IF($B99&lt;&gt;1,"",IF(OR(Data!I99="",(Settings!$B$2-Data!I99)&gt;Settings!$B$3),1,0))</f>
        <v/>
      </c>
      <c r="G99" s="18" t="str">
        <f aca="false">IF($B99&lt;&gt;1,"",IF(SUMPRODUCT(--($B$2:$B$201=1),--(LEFT(Data!$B$2:$B$201,8)=LEFT(Data!B99,8)))&gt;1,1,0))</f>
        <v/>
      </c>
      <c r="H99" s="18" t="str">
        <f aca="false">IF($B99&lt;&gt;1,"",IF(Data!D99="",1,0))</f>
        <v/>
      </c>
      <c r="I99" s="18" t="str">
        <f aca="false">IF($A99="","",IF(AND(Data!J99&lt;&gt;"",ISNUMBER(Data!J99),Data!J99&lt;Settings!$B$2,Data!G99="Active"),1,0))</f>
        <v/>
      </c>
      <c r="J99" s="18" t="str">
        <f aca="false">IF($A99="","",IF($B99&lt;&gt;1,0,(1-N($C99))+(1-N($D99))+(1-N($E99))+N($F99)+N($G99)+N($H99)+N($I99)))</f>
        <v/>
      </c>
    </row>
    <row r="100" customFormat="false" ht="15" hidden="false" customHeight="false" outlineLevel="0" collapsed="false">
      <c r="A100" s="17" t="str">
        <f aca="false">IF(Data!A100="","",Data!A100)</f>
        <v/>
      </c>
      <c r="B100" s="17" t="str">
        <f aca="false">IF($A100="","",IF(Data!G100="Active",1,0))</f>
        <v/>
      </c>
      <c r="C100" s="17" t="str">
        <f aca="false">IF($B100&lt;&gt;1,"",IF(COUNTBLANK(Data!B100:H100)=0,1,0))</f>
        <v/>
      </c>
      <c r="D100" s="17" t="str">
        <f aca="false">IF($B100&lt;&gt;1,"",IF(LEFT(Data!E100,4)="OWN-",1,0))</f>
        <v/>
      </c>
      <c r="E100" s="17" t="str">
        <f aca="false">IF($B100&lt;&gt;1,"",IF(LEFT(Data!F100,4)="OWN-",1,0))</f>
        <v/>
      </c>
      <c r="F100" s="17" t="str">
        <f aca="false">IF($B100&lt;&gt;1,"",IF(OR(Data!I100="",(Settings!$B$2-Data!I100)&gt;Settings!$B$3),1,0))</f>
        <v/>
      </c>
      <c r="G100" s="17" t="str">
        <f aca="false">IF($B100&lt;&gt;1,"",IF(SUMPRODUCT(--($B$2:$B$201=1),--(LEFT(Data!$B$2:$B$201,8)=LEFT(Data!B100,8)))&gt;1,1,0))</f>
        <v/>
      </c>
      <c r="H100" s="17" t="str">
        <f aca="false">IF($B100&lt;&gt;1,"",IF(Data!D100="",1,0))</f>
        <v/>
      </c>
      <c r="I100" s="17" t="str">
        <f aca="false">IF($A100="","",IF(AND(Data!J100&lt;&gt;"",ISNUMBER(Data!J100),Data!J100&lt;Settings!$B$2,Data!G100="Active"),1,0))</f>
        <v/>
      </c>
      <c r="J100" s="17" t="str">
        <f aca="false">IF($A100="","",IF($B100&lt;&gt;1,0,(1-N($C100))+(1-N($D100))+(1-N($E100))+N($F100)+N($G100)+N($H100)+N($I100)))</f>
        <v/>
      </c>
    </row>
    <row r="101" customFormat="false" ht="15" hidden="false" customHeight="false" outlineLevel="0" collapsed="false">
      <c r="A101" s="18" t="str">
        <f aca="false">IF(Data!A101="","",Data!A101)</f>
        <v/>
      </c>
      <c r="B101" s="18" t="str">
        <f aca="false">IF($A101="","",IF(Data!G101="Active",1,0))</f>
        <v/>
      </c>
      <c r="C101" s="18" t="str">
        <f aca="false">IF($B101&lt;&gt;1,"",IF(COUNTBLANK(Data!B101:H101)=0,1,0))</f>
        <v/>
      </c>
      <c r="D101" s="18" t="str">
        <f aca="false">IF($B101&lt;&gt;1,"",IF(LEFT(Data!E101,4)="OWN-",1,0))</f>
        <v/>
      </c>
      <c r="E101" s="18" t="str">
        <f aca="false">IF($B101&lt;&gt;1,"",IF(LEFT(Data!F101,4)="OWN-",1,0))</f>
        <v/>
      </c>
      <c r="F101" s="18" t="str">
        <f aca="false">IF($B101&lt;&gt;1,"",IF(OR(Data!I101="",(Settings!$B$2-Data!I101)&gt;Settings!$B$3),1,0))</f>
        <v/>
      </c>
      <c r="G101" s="18" t="str">
        <f aca="false">IF($B101&lt;&gt;1,"",IF(SUMPRODUCT(--($B$2:$B$201=1),--(LEFT(Data!$B$2:$B$201,8)=LEFT(Data!B101,8)))&gt;1,1,0))</f>
        <v/>
      </c>
      <c r="H101" s="18" t="str">
        <f aca="false">IF($B101&lt;&gt;1,"",IF(Data!D101="",1,0))</f>
        <v/>
      </c>
      <c r="I101" s="18" t="str">
        <f aca="false">IF($A101="","",IF(AND(Data!J101&lt;&gt;"",ISNUMBER(Data!J101),Data!J101&lt;Settings!$B$2,Data!G101="Active"),1,0))</f>
        <v/>
      </c>
      <c r="J101" s="18" t="str">
        <f aca="false">IF($A101="","",IF($B101&lt;&gt;1,0,(1-N($C101))+(1-N($D101))+(1-N($E101))+N($F101)+N($G101)+N($H101)+N($I101)))</f>
        <v/>
      </c>
    </row>
    <row r="102" customFormat="false" ht="15" hidden="false" customHeight="false" outlineLevel="0" collapsed="false">
      <c r="A102" s="17" t="str">
        <f aca="false">IF(Data!A102="","",Data!A102)</f>
        <v/>
      </c>
      <c r="B102" s="17" t="str">
        <f aca="false">IF($A102="","",IF(Data!G102="Active",1,0))</f>
        <v/>
      </c>
      <c r="C102" s="17" t="str">
        <f aca="false">IF($B102&lt;&gt;1,"",IF(COUNTBLANK(Data!B102:H102)=0,1,0))</f>
        <v/>
      </c>
      <c r="D102" s="17" t="str">
        <f aca="false">IF($B102&lt;&gt;1,"",IF(LEFT(Data!E102,4)="OWN-",1,0))</f>
        <v/>
      </c>
      <c r="E102" s="17" t="str">
        <f aca="false">IF($B102&lt;&gt;1,"",IF(LEFT(Data!F102,4)="OWN-",1,0))</f>
        <v/>
      </c>
      <c r="F102" s="17" t="str">
        <f aca="false">IF($B102&lt;&gt;1,"",IF(OR(Data!I102="",(Settings!$B$2-Data!I102)&gt;Settings!$B$3),1,0))</f>
        <v/>
      </c>
      <c r="G102" s="17" t="str">
        <f aca="false">IF($B102&lt;&gt;1,"",IF(SUMPRODUCT(--($B$2:$B$201=1),--(LEFT(Data!$B$2:$B$201,8)=LEFT(Data!B102,8)))&gt;1,1,0))</f>
        <v/>
      </c>
      <c r="H102" s="17" t="str">
        <f aca="false">IF($B102&lt;&gt;1,"",IF(Data!D102="",1,0))</f>
        <v/>
      </c>
      <c r="I102" s="17" t="str">
        <f aca="false">IF($A102="","",IF(AND(Data!J102&lt;&gt;"",ISNUMBER(Data!J102),Data!J102&lt;Settings!$B$2,Data!G102="Active"),1,0))</f>
        <v/>
      </c>
      <c r="J102" s="17" t="str">
        <f aca="false">IF($A102="","",IF($B102&lt;&gt;1,0,(1-N($C102))+(1-N($D102))+(1-N($E102))+N($F102)+N($G102)+N($H102)+N($I102)))</f>
        <v/>
      </c>
    </row>
    <row r="103" customFormat="false" ht="15" hidden="false" customHeight="false" outlineLevel="0" collapsed="false">
      <c r="A103" s="18" t="str">
        <f aca="false">IF(Data!A103="","",Data!A103)</f>
        <v/>
      </c>
      <c r="B103" s="18" t="str">
        <f aca="false">IF($A103="","",IF(Data!G103="Active",1,0))</f>
        <v/>
      </c>
      <c r="C103" s="18" t="str">
        <f aca="false">IF($B103&lt;&gt;1,"",IF(COUNTBLANK(Data!B103:H103)=0,1,0))</f>
        <v/>
      </c>
      <c r="D103" s="18" t="str">
        <f aca="false">IF($B103&lt;&gt;1,"",IF(LEFT(Data!E103,4)="OWN-",1,0))</f>
        <v/>
      </c>
      <c r="E103" s="18" t="str">
        <f aca="false">IF($B103&lt;&gt;1,"",IF(LEFT(Data!F103,4)="OWN-",1,0))</f>
        <v/>
      </c>
      <c r="F103" s="18" t="str">
        <f aca="false">IF($B103&lt;&gt;1,"",IF(OR(Data!I103="",(Settings!$B$2-Data!I103)&gt;Settings!$B$3),1,0))</f>
        <v/>
      </c>
      <c r="G103" s="18" t="str">
        <f aca="false">IF($B103&lt;&gt;1,"",IF(SUMPRODUCT(--($B$2:$B$201=1),--(LEFT(Data!$B$2:$B$201,8)=LEFT(Data!B103,8)))&gt;1,1,0))</f>
        <v/>
      </c>
      <c r="H103" s="18" t="str">
        <f aca="false">IF($B103&lt;&gt;1,"",IF(Data!D103="",1,0))</f>
        <v/>
      </c>
      <c r="I103" s="18" t="str">
        <f aca="false">IF($A103="","",IF(AND(Data!J103&lt;&gt;"",ISNUMBER(Data!J103),Data!J103&lt;Settings!$B$2,Data!G103="Active"),1,0))</f>
        <v/>
      </c>
      <c r="J103" s="18" t="str">
        <f aca="false">IF($A103="","",IF($B103&lt;&gt;1,0,(1-N($C103))+(1-N($D103))+(1-N($E103))+N($F103)+N($G103)+N($H103)+N($I103)))</f>
        <v/>
      </c>
    </row>
    <row r="104" customFormat="false" ht="15" hidden="false" customHeight="false" outlineLevel="0" collapsed="false">
      <c r="A104" s="17" t="str">
        <f aca="false">IF(Data!A104="","",Data!A104)</f>
        <v/>
      </c>
      <c r="B104" s="17" t="str">
        <f aca="false">IF($A104="","",IF(Data!G104="Active",1,0))</f>
        <v/>
      </c>
      <c r="C104" s="17" t="str">
        <f aca="false">IF($B104&lt;&gt;1,"",IF(COUNTBLANK(Data!B104:H104)=0,1,0))</f>
        <v/>
      </c>
      <c r="D104" s="17" t="str">
        <f aca="false">IF($B104&lt;&gt;1,"",IF(LEFT(Data!E104,4)="OWN-",1,0))</f>
        <v/>
      </c>
      <c r="E104" s="17" t="str">
        <f aca="false">IF($B104&lt;&gt;1,"",IF(LEFT(Data!F104,4)="OWN-",1,0))</f>
        <v/>
      </c>
      <c r="F104" s="17" t="str">
        <f aca="false">IF($B104&lt;&gt;1,"",IF(OR(Data!I104="",(Settings!$B$2-Data!I104)&gt;Settings!$B$3),1,0))</f>
        <v/>
      </c>
      <c r="G104" s="17" t="str">
        <f aca="false">IF($B104&lt;&gt;1,"",IF(SUMPRODUCT(--($B$2:$B$201=1),--(LEFT(Data!$B$2:$B$201,8)=LEFT(Data!B104,8)))&gt;1,1,0))</f>
        <v/>
      </c>
      <c r="H104" s="17" t="str">
        <f aca="false">IF($B104&lt;&gt;1,"",IF(Data!D104="",1,0))</f>
        <v/>
      </c>
      <c r="I104" s="17" t="str">
        <f aca="false">IF($A104="","",IF(AND(Data!J104&lt;&gt;"",ISNUMBER(Data!J104),Data!J104&lt;Settings!$B$2,Data!G104="Active"),1,0))</f>
        <v/>
      </c>
      <c r="J104" s="17" t="str">
        <f aca="false">IF($A104="","",IF($B104&lt;&gt;1,0,(1-N($C104))+(1-N($D104))+(1-N($E104))+N($F104)+N($G104)+N($H104)+N($I104)))</f>
        <v/>
      </c>
    </row>
    <row r="105" customFormat="false" ht="15" hidden="false" customHeight="false" outlineLevel="0" collapsed="false">
      <c r="A105" s="18" t="str">
        <f aca="false">IF(Data!A105="","",Data!A105)</f>
        <v/>
      </c>
      <c r="B105" s="18" t="str">
        <f aca="false">IF($A105="","",IF(Data!G105="Active",1,0))</f>
        <v/>
      </c>
      <c r="C105" s="18" t="str">
        <f aca="false">IF($B105&lt;&gt;1,"",IF(COUNTBLANK(Data!B105:H105)=0,1,0))</f>
        <v/>
      </c>
      <c r="D105" s="18" t="str">
        <f aca="false">IF($B105&lt;&gt;1,"",IF(LEFT(Data!E105,4)="OWN-",1,0))</f>
        <v/>
      </c>
      <c r="E105" s="18" t="str">
        <f aca="false">IF($B105&lt;&gt;1,"",IF(LEFT(Data!F105,4)="OWN-",1,0))</f>
        <v/>
      </c>
      <c r="F105" s="18" t="str">
        <f aca="false">IF($B105&lt;&gt;1,"",IF(OR(Data!I105="",(Settings!$B$2-Data!I105)&gt;Settings!$B$3),1,0))</f>
        <v/>
      </c>
      <c r="G105" s="18" t="str">
        <f aca="false">IF($B105&lt;&gt;1,"",IF(SUMPRODUCT(--($B$2:$B$201=1),--(LEFT(Data!$B$2:$B$201,8)=LEFT(Data!B105,8)))&gt;1,1,0))</f>
        <v/>
      </c>
      <c r="H105" s="18" t="str">
        <f aca="false">IF($B105&lt;&gt;1,"",IF(Data!D105="",1,0))</f>
        <v/>
      </c>
      <c r="I105" s="18" t="str">
        <f aca="false">IF($A105="","",IF(AND(Data!J105&lt;&gt;"",ISNUMBER(Data!J105),Data!J105&lt;Settings!$B$2,Data!G105="Active"),1,0))</f>
        <v/>
      </c>
      <c r="J105" s="18" t="str">
        <f aca="false">IF($A105="","",IF($B105&lt;&gt;1,0,(1-N($C105))+(1-N($D105))+(1-N($E105))+N($F105)+N($G105)+N($H105)+N($I105)))</f>
        <v/>
      </c>
    </row>
    <row r="106" customFormat="false" ht="15" hidden="false" customHeight="false" outlineLevel="0" collapsed="false">
      <c r="A106" s="17" t="str">
        <f aca="false">IF(Data!A106="","",Data!A106)</f>
        <v/>
      </c>
      <c r="B106" s="17" t="str">
        <f aca="false">IF($A106="","",IF(Data!G106="Active",1,0))</f>
        <v/>
      </c>
      <c r="C106" s="17" t="str">
        <f aca="false">IF($B106&lt;&gt;1,"",IF(COUNTBLANK(Data!B106:H106)=0,1,0))</f>
        <v/>
      </c>
      <c r="D106" s="17" t="str">
        <f aca="false">IF($B106&lt;&gt;1,"",IF(LEFT(Data!E106,4)="OWN-",1,0))</f>
        <v/>
      </c>
      <c r="E106" s="17" t="str">
        <f aca="false">IF($B106&lt;&gt;1,"",IF(LEFT(Data!F106,4)="OWN-",1,0))</f>
        <v/>
      </c>
      <c r="F106" s="17" t="str">
        <f aca="false">IF($B106&lt;&gt;1,"",IF(OR(Data!I106="",(Settings!$B$2-Data!I106)&gt;Settings!$B$3),1,0))</f>
        <v/>
      </c>
      <c r="G106" s="17" t="str">
        <f aca="false">IF($B106&lt;&gt;1,"",IF(SUMPRODUCT(--($B$2:$B$201=1),--(LEFT(Data!$B$2:$B$201,8)=LEFT(Data!B106,8)))&gt;1,1,0))</f>
        <v/>
      </c>
      <c r="H106" s="17" t="str">
        <f aca="false">IF($B106&lt;&gt;1,"",IF(Data!D106="",1,0))</f>
        <v/>
      </c>
      <c r="I106" s="17" t="str">
        <f aca="false">IF($A106="","",IF(AND(Data!J106&lt;&gt;"",ISNUMBER(Data!J106),Data!J106&lt;Settings!$B$2,Data!G106="Active"),1,0))</f>
        <v/>
      </c>
      <c r="J106" s="17" t="str">
        <f aca="false">IF($A106="","",IF($B106&lt;&gt;1,0,(1-N($C106))+(1-N($D106))+(1-N($E106))+N($F106)+N($G106)+N($H106)+N($I106)))</f>
        <v/>
      </c>
    </row>
    <row r="107" customFormat="false" ht="15" hidden="false" customHeight="false" outlineLevel="0" collapsed="false">
      <c r="A107" s="18" t="str">
        <f aca="false">IF(Data!A107="","",Data!A107)</f>
        <v/>
      </c>
      <c r="B107" s="18" t="str">
        <f aca="false">IF($A107="","",IF(Data!G107="Active",1,0))</f>
        <v/>
      </c>
      <c r="C107" s="18" t="str">
        <f aca="false">IF($B107&lt;&gt;1,"",IF(COUNTBLANK(Data!B107:H107)=0,1,0))</f>
        <v/>
      </c>
      <c r="D107" s="18" t="str">
        <f aca="false">IF($B107&lt;&gt;1,"",IF(LEFT(Data!E107,4)="OWN-",1,0))</f>
        <v/>
      </c>
      <c r="E107" s="18" t="str">
        <f aca="false">IF($B107&lt;&gt;1,"",IF(LEFT(Data!F107,4)="OWN-",1,0))</f>
        <v/>
      </c>
      <c r="F107" s="18" t="str">
        <f aca="false">IF($B107&lt;&gt;1,"",IF(OR(Data!I107="",(Settings!$B$2-Data!I107)&gt;Settings!$B$3),1,0))</f>
        <v/>
      </c>
      <c r="G107" s="18" t="str">
        <f aca="false">IF($B107&lt;&gt;1,"",IF(SUMPRODUCT(--($B$2:$B$201=1),--(LEFT(Data!$B$2:$B$201,8)=LEFT(Data!B107,8)))&gt;1,1,0))</f>
        <v/>
      </c>
      <c r="H107" s="18" t="str">
        <f aca="false">IF($B107&lt;&gt;1,"",IF(Data!D107="",1,0))</f>
        <v/>
      </c>
      <c r="I107" s="18" t="str">
        <f aca="false">IF($A107="","",IF(AND(Data!J107&lt;&gt;"",ISNUMBER(Data!J107),Data!J107&lt;Settings!$B$2,Data!G107="Active"),1,0))</f>
        <v/>
      </c>
      <c r="J107" s="18" t="str">
        <f aca="false">IF($A107="","",IF($B107&lt;&gt;1,0,(1-N($C107))+(1-N($D107))+(1-N($E107))+N($F107)+N($G107)+N($H107)+N($I107)))</f>
        <v/>
      </c>
    </row>
    <row r="108" customFormat="false" ht="15" hidden="false" customHeight="false" outlineLevel="0" collapsed="false">
      <c r="A108" s="17" t="str">
        <f aca="false">IF(Data!A108="","",Data!A108)</f>
        <v/>
      </c>
      <c r="B108" s="17" t="str">
        <f aca="false">IF($A108="","",IF(Data!G108="Active",1,0))</f>
        <v/>
      </c>
      <c r="C108" s="17" t="str">
        <f aca="false">IF($B108&lt;&gt;1,"",IF(COUNTBLANK(Data!B108:H108)=0,1,0))</f>
        <v/>
      </c>
      <c r="D108" s="17" t="str">
        <f aca="false">IF($B108&lt;&gt;1,"",IF(LEFT(Data!E108,4)="OWN-",1,0))</f>
        <v/>
      </c>
      <c r="E108" s="17" t="str">
        <f aca="false">IF($B108&lt;&gt;1,"",IF(LEFT(Data!F108,4)="OWN-",1,0))</f>
        <v/>
      </c>
      <c r="F108" s="17" t="str">
        <f aca="false">IF($B108&lt;&gt;1,"",IF(OR(Data!I108="",(Settings!$B$2-Data!I108)&gt;Settings!$B$3),1,0))</f>
        <v/>
      </c>
      <c r="G108" s="17" t="str">
        <f aca="false">IF($B108&lt;&gt;1,"",IF(SUMPRODUCT(--($B$2:$B$201=1),--(LEFT(Data!$B$2:$B$201,8)=LEFT(Data!B108,8)))&gt;1,1,0))</f>
        <v/>
      </c>
      <c r="H108" s="17" t="str">
        <f aca="false">IF($B108&lt;&gt;1,"",IF(Data!D108="",1,0))</f>
        <v/>
      </c>
      <c r="I108" s="17" t="str">
        <f aca="false">IF($A108="","",IF(AND(Data!J108&lt;&gt;"",ISNUMBER(Data!J108),Data!J108&lt;Settings!$B$2,Data!G108="Active"),1,0))</f>
        <v/>
      </c>
      <c r="J108" s="17" t="str">
        <f aca="false">IF($A108="","",IF($B108&lt;&gt;1,0,(1-N($C108))+(1-N($D108))+(1-N($E108))+N($F108)+N($G108)+N($H108)+N($I108)))</f>
        <v/>
      </c>
    </row>
    <row r="109" customFormat="false" ht="15" hidden="false" customHeight="false" outlineLevel="0" collapsed="false">
      <c r="A109" s="18" t="str">
        <f aca="false">IF(Data!A109="","",Data!A109)</f>
        <v/>
      </c>
      <c r="B109" s="18" t="str">
        <f aca="false">IF($A109="","",IF(Data!G109="Active",1,0))</f>
        <v/>
      </c>
      <c r="C109" s="18" t="str">
        <f aca="false">IF($B109&lt;&gt;1,"",IF(COUNTBLANK(Data!B109:H109)=0,1,0))</f>
        <v/>
      </c>
      <c r="D109" s="18" t="str">
        <f aca="false">IF($B109&lt;&gt;1,"",IF(LEFT(Data!E109,4)="OWN-",1,0))</f>
        <v/>
      </c>
      <c r="E109" s="18" t="str">
        <f aca="false">IF($B109&lt;&gt;1,"",IF(LEFT(Data!F109,4)="OWN-",1,0))</f>
        <v/>
      </c>
      <c r="F109" s="18" t="str">
        <f aca="false">IF($B109&lt;&gt;1,"",IF(OR(Data!I109="",(Settings!$B$2-Data!I109)&gt;Settings!$B$3),1,0))</f>
        <v/>
      </c>
      <c r="G109" s="18" t="str">
        <f aca="false">IF($B109&lt;&gt;1,"",IF(SUMPRODUCT(--($B$2:$B$201=1),--(LEFT(Data!$B$2:$B$201,8)=LEFT(Data!B109,8)))&gt;1,1,0))</f>
        <v/>
      </c>
      <c r="H109" s="18" t="str">
        <f aca="false">IF($B109&lt;&gt;1,"",IF(Data!D109="",1,0))</f>
        <v/>
      </c>
      <c r="I109" s="18" t="str">
        <f aca="false">IF($A109="","",IF(AND(Data!J109&lt;&gt;"",ISNUMBER(Data!J109),Data!J109&lt;Settings!$B$2,Data!G109="Active"),1,0))</f>
        <v/>
      </c>
      <c r="J109" s="18" t="str">
        <f aca="false">IF($A109="","",IF($B109&lt;&gt;1,0,(1-N($C109))+(1-N($D109))+(1-N($E109))+N($F109)+N($G109)+N($H109)+N($I109)))</f>
        <v/>
      </c>
    </row>
    <row r="110" customFormat="false" ht="15" hidden="false" customHeight="false" outlineLevel="0" collapsed="false">
      <c r="A110" s="17" t="str">
        <f aca="false">IF(Data!A110="","",Data!A110)</f>
        <v/>
      </c>
      <c r="B110" s="17" t="str">
        <f aca="false">IF($A110="","",IF(Data!G110="Active",1,0))</f>
        <v/>
      </c>
      <c r="C110" s="17" t="str">
        <f aca="false">IF($B110&lt;&gt;1,"",IF(COUNTBLANK(Data!B110:H110)=0,1,0))</f>
        <v/>
      </c>
      <c r="D110" s="17" t="str">
        <f aca="false">IF($B110&lt;&gt;1,"",IF(LEFT(Data!E110,4)="OWN-",1,0))</f>
        <v/>
      </c>
      <c r="E110" s="17" t="str">
        <f aca="false">IF($B110&lt;&gt;1,"",IF(LEFT(Data!F110,4)="OWN-",1,0))</f>
        <v/>
      </c>
      <c r="F110" s="17" t="str">
        <f aca="false">IF($B110&lt;&gt;1,"",IF(OR(Data!I110="",(Settings!$B$2-Data!I110)&gt;Settings!$B$3),1,0))</f>
        <v/>
      </c>
      <c r="G110" s="17" t="str">
        <f aca="false">IF($B110&lt;&gt;1,"",IF(SUMPRODUCT(--($B$2:$B$201=1),--(LEFT(Data!$B$2:$B$201,8)=LEFT(Data!B110,8)))&gt;1,1,0))</f>
        <v/>
      </c>
      <c r="H110" s="17" t="str">
        <f aca="false">IF($B110&lt;&gt;1,"",IF(Data!D110="",1,0))</f>
        <v/>
      </c>
      <c r="I110" s="17" t="str">
        <f aca="false">IF($A110="","",IF(AND(Data!J110&lt;&gt;"",ISNUMBER(Data!J110),Data!J110&lt;Settings!$B$2,Data!G110="Active"),1,0))</f>
        <v/>
      </c>
      <c r="J110" s="17" t="str">
        <f aca="false">IF($A110="","",IF($B110&lt;&gt;1,0,(1-N($C110))+(1-N($D110))+(1-N($E110))+N($F110)+N($G110)+N($H110)+N($I110)))</f>
        <v/>
      </c>
    </row>
    <row r="111" customFormat="false" ht="15" hidden="false" customHeight="false" outlineLevel="0" collapsed="false">
      <c r="A111" s="18" t="str">
        <f aca="false">IF(Data!A111="","",Data!A111)</f>
        <v/>
      </c>
      <c r="B111" s="18" t="str">
        <f aca="false">IF($A111="","",IF(Data!G111="Active",1,0))</f>
        <v/>
      </c>
      <c r="C111" s="18" t="str">
        <f aca="false">IF($B111&lt;&gt;1,"",IF(COUNTBLANK(Data!B111:H111)=0,1,0))</f>
        <v/>
      </c>
      <c r="D111" s="18" t="str">
        <f aca="false">IF($B111&lt;&gt;1,"",IF(LEFT(Data!E111,4)="OWN-",1,0))</f>
        <v/>
      </c>
      <c r="E111" s="18" t="str">
        <f aca="false">IF($B111&lt;&gt;1,"",IF(LEFT(Data!F111,4)="OWN-",1,0))</f>
        <v/>
      </c>
      <c r="F111" s="18" t="str">
        <f aca="false">IF($B111&lt;&gt;1,"",IF(OR(Data!I111="",(Settings!$B$2-Data!I111)&gt;Settings!$B$3),1,0))</f>
        <v/>
      </c>
      <c r="G111" s="18" t="str">
        <f aca="false">IF($B111&lt;&gt;1,"",IF(SUMPRODUCT(--($B$2:$B$201=1),--(LEFT(Data!$B$2:$B$201,8)=LEFT(Data!B111,8)))&gt;1,1,0))</f>
        <v/>
      </c>
      <c r="H111" s="18" t="str">
        <f aca="false">IF($B111&lt;&gt;1,"",IF(Data!D111="",1,0))</f>
        <v/>
      </c>
      <c r="I111" s="18" t="str">
        <f aca="false">IF($A111="","",IF(AND(Data!J111&lt;&gt;"",ISNUMBER(Data!J111),Data!J111&lt;Settings!$B$2,Data!G111="Active"),1,0))</f>
        <v/>
      </c>
      <c r="J111" s="18" t="str">
        <f aca="false">IF($A111="","",IF($B111&lt;&gt;1,0,(1-N($C111))+(1-N($D111))+(1-N($E111))+N($F111)+N($G111)+N($H111)+N($I111)))</f>
        <v/>
      </c>
    </row>
    <row r="112" customFormat="false" ht="15" hidden="false" customHeight="false" outlineLevel="0" collapsed="false">
      <c r="A112" s="17" t="str">
        <f aca="false">IF(Data!A112="","",Data!A112)</f>
        <v/>
      </c>
      <c r="B112" s="17" t="str">
        <f aca="false">IF($A112="","",IF(Data!G112="Active",1,0))</f>
        <v/>
      </c>
      <c r="C112" s="17" t="str">
        <f aca="false">IF($B112&lt;&gt;1,"",IF(COUNTBLANK(Data!B112:H112)=0,1,0))</f>
        <v/>
      </c>
      <c r="D112" s="17" t="str">
        <f aca="false">IF($B112&lt;&gt;1,"",IF(LEFT(Data!E112,4)="OWN-",1,0))</f>
        <v/>
      </c>
      <c r="E112" s="17" t="str">
        <f aca="false">IF($B112&lt;&gt;1,"",IF(LEFT(Data!F112,4)="OWN-",1,0))</f>
        <v/>
      </c>
      <c r="F112" s="17" t="str">
        <f aca="false">IF($B112&lt;&gt;1,"",IF(OR(Data!I112="",(Settings!$B$2-Data!I112)&gt;Settings!$B$3),1,0))</f>
        <v/>
      </c>
      <c r="G112" s="17" t="str">
        <f aca="false">IF($B112&lt;&gt;1,"",IF(SUMPRODUCT(--($B$2:$B$201=1),--(LEFT(Data!$B$2:$B$201,8)=LEFT(Data!B112,8)))&gt;1,1,0))</f>
        <v/>
      </c>
      <c r="H112" s="17" t="str">
        <f aca="false">IF($B112&lt;&gt;1,"",IF(Data!D112="",1,0))</f>
        <v/>
      </c>
      <c r="I112" s="17" t="str">
        <f aca="false">IF($A112="","",IF(AND(Data!J112&lt;&gt;"",ISNUMBER(Data!J112),Data!J112&lt;Settings!$B$2,Data!G112="Active"),1,0))</f>
        <v/>
      </c>
      <c r="J112" s="17" t="str">
        <f aca="false">IF($A112="","",IF($B112&lt;&gt;1,0,(1-N($C112))+(1-N($D112))+(1-N($E112))+N($F112)+N($G112)+N($H112)+N($I112)))</f>
        <v/>
      </c>
    </row>
    <row r="113" customFormat="false" ht="15" hidden="false" customHeight="false" outlineLevel="0" collapsed="false">
      <c r="A113" s="18" t="str">
        <f aca="false">IF(Data!A113="","",Data!A113)</f>
        <v/>
      </c>
      <c r="B113" s="18" t="str">
        <f aca="false">IF($A113="","",IF(Data!G113="Active",1,0))</f>
        <v/>
      </c>
      <c r="C113" s="18" t="str">
        <f aca="false">IF($B113&lt;&gt;1,"",IF(COUNTBLANK(Data!B113:H113)=0,1,0))</f>
        <v/>
      </c>
      <c r="D113" s="18" t="str">
        <f aca="false">IF($B113&lt;&gt;1,"",IF(LEFT(Data!E113,4)="OWN-",1,0))</f>
        <v/>
      </c>
      <c r="E113" s="18" t="str">
        <f aca="false">IF($B113&lt;&gt;1,"",IF(LEFT(Data!F113,4)="OWN-",1,0))</f>
        <v/>
      </c>
      <c r="F113" s="18" t="str">
        <f aca="false">IF($B113&lt;&gt;1,"",IF(OR(Data!I113="",(Settings!$B$2-Data!I113)&gt;Settings!$B$3),1,0))</f>
        <v/>
      </c>
      <c r="G113" s="18" t="str">
        <f aca="false">IF($B113&lt;&gt;1,"",IF(SUMPRODUCT(--($B$2:$B$201=1),--(LEFT(Data!$B$2:$B$201,8)=LEFT(Data!B113,8)))&gt;1,1,0))</f>
        <v/>
      </c>
      <c r="H113" s="18" t="str">
        <f aca="false">IF($B113&lt;&gt;1,"",IF(Data!D113="",1,0))</f>
        <v/>
      </c>
      <c r="I113" s="18" t="str">
        <f aca="false">IF($A113="","",IF(AND(Data!J113&lt;&gt;"",ISNUMBER(Data!J113),Data!J113&lt;Settings!$B$2,Data!G113="Active"),1,0))</f>
        <v/>
      </c>
      <c r="J113" s="18" t="str">
        <f aca="false">IF($A113="","",IF($B113&lt;&gt;1,0,(1-N($C113))+(1-N($D113))+(1-N($E113))+N($F113)+N($G113)+N($H113)+N($I113)))</f>
        <v/>
      </c>
    </row>
    <row r="114" customFormat="false" ht="15" hidden="false" customHeight="false" outlineLevel="0" collapsed="false">
      <c r="A114" s="17" t="str">
        <f aca="false">IF(Data!A114="","",Data!A114)</f>
        <v/>
      </c>
      <c r="B114" s="17" t="str">
        <f aca="false">IF($A114="","",IF(Data!G114="Active",1,0))</f>
        <v/>
      </c>
      <c r="C114" s="17" t="str">
        <f aca="false">IF($B114&lt;&gt;1,"",IF(COUNTBLANK(Data!B114:H114)=0,1,0))</f>
        <v/>
      </c>
      <c r="D114" s="17" t="str">
        <f aca="false">IF($B114&lt;&gt;1,"",IF(LEFT(Data!E114,4)="OWN-",1,0))</f>
        <v/>
      </c>
      <c r="E114" s="17" t="str">
        <f aca="false">IF($B114&lt;&gt;1,"",IF(LEFT(Data!F114,4)="OWN-",1,0))</f>
        <v/>
      </c>
      <c r="F114" s="17" t="str">
        <f aca="false">IF($B114&lt;&gt;1,"",IF(OR(Data!I114="",(Settings!$B$2-Data!I114)&gt;Settings!$B$3),1,0))</f>
        <v/>
      </c>
      <c r="G114" s="17" t="str">
        <f aca="false">IF($B114&lt;&gt;1,"",IF(SUMPRODUCT(--($B$2:$B$201=1),--(LEFT(Data!$B$2:$B$201,8)=LEFT(Data!B114,8)))&gt;1,1,0))</f>
        <v/>
      </c>
      <c r="H114" s="17" t="str">
        <f aca="false">IF($B114&lt;&gt;1,"",IF(Data!D114="",1,0))</f>
        <v/>
      </c>
      <c r="I114" s="17" t="str">
        <f aca="false">IF($A114="","",IF(AND(Data!J114&lt;&gt;"",ISNUMBER(Data!J114),Data!J114&lt;Settings!$B$2,Data!G114="Active"),1,0))</f>
        <v/>
      </c>
      <c r="J114" s="17" t="str">
        <f aca="false">IF($A114="","",IF($B114&lt;&gt;1,0,(1-N($C114))+(1-N($D114))+(1-N($E114))+N($F114)+N($G114)+N($H114)+N($I114)))</f>
        <v/>
      </c>
    </row>
    <row r="115" customFormat="false" ht="15" hidden="false" customHeight="false" outlineLevel="0" collapsed="false">
      <c r="A115" s="18" t="str">
        <f aca="false">IF(Data!A115="","",Data!A115)</f>
        <v/>
      </c>
      <c r="B115" s="18" t="str">
        <f aca="false">IF($A115="","",IF(Data!G115="Active",1,0))</f>
        <v/>
      </c>
      <c r="C115" s="18" t="str">
        <f aca="false">IF($B115&lt;&gt;1,"",IF(COUNTBLANK(Data!B115:H115)=0,1,0))</f>
        <v/>
      </c>
      <c r="D115" s="18" t="str">
        <f aca="false">IF($B115&lt;&gt;1,"",IF(LEFT(Data!E115,4)="OWN-",1,0))</f>
        <v/>
      </c>
      <c r="E115" s="18" t="str">
        <f aca="false">IF($B115&lt;&gt;1,"",IF(LEFT(Data!F115,4)="OWN-",1,0))</f>
        <v/>
      </c>
      <c r="F115" s="18" t="str">
        <f aca="false">IF($B115&lt;&gt;1,"",IF(OR(Data!I115="",(Settings!$B$2-Data!I115)&gt;Settings!$B$3),1,0))</f>
        <v/>
      </c>
      <c r="G115" s="18" t="str">
        <f aca="false">IF($B115&lt;&gt;1,"",IF(SUMPRODUCT(--($B$2:$B$201=1),--(LEFT(Data!$B$2:$B$201,8)=LEFT(Data!B115,8)))&gt;1,1,0))</f>
        <v/>
      </c>
      <c r="H115" s="18" t="str">
        <f aca="false">IF($B115&lt;&gt;1,"",IF(Data!D115="",1,0))</f>
        <v/>
      </c>
      <c r="I115" s="18" t="str">
        <f aca="false">IF($A115="","",IF(AND(Data!J115&lt;&gt;"",ISNUMBER(Data!J115),Data!J115&lt;Settings!$B$2,Data!G115="Active"),1,0))</f>
        <v/>
      </c>
      <c r="J115" s="18" t="str">
        <f aca="false">IF($A115="","",IF($B115&lt;&gt;1,0,(1-N($C115))+(1-N($D115))+(1-N($E115))+N($F115)+N($G115)+N($H115)+N($I115)))</f>
        <v/>
      </c>
    </row>
    <row r="116" customFormat="false" ht="15" hidden="false" customHeight="false" outlineLevel="0" collapsed="false">
      <c r="A116" s="17" t="str">
        <f aca="false">IF(Data!A116="","",Data!A116)</f>
        <v/>
      </c>
      <c r="B116" s="17" t="str">
        <f aca="false">IF($A116="","",IF(Data!G116="Active",1,0))</f>
        <v/>
      </c>
      <c r="C116" s="17" t="str">
        <f aca="false">IF($B116&lt;&gt;1,"",IF(COUNTBLANK(Data!B116:H116)=0,1,0))</f>
        <v/>
      </c>
      <c r="D116" s="17" t="str">
        <f aca="false">IF($B116&lt;&gt;1,"",IF(LEFT(Data!E116,4)="OWN-",1,0))</f>
        <v/>
      </c>
      <c r="E116" s="17" t="str">
        <f aca="false">IF($B116&lt;&gt;1,"",IF(LEFT(Data!F116,4)="OWN-",1,0))</f>
        <v/>
      </c>
      <c r="F116" s="17" t="str">
        <f aca="false">IF($B116&lt;&gt;1,"",IF(OR(Data!I116="",(Settings!$B$2-Data!I116)&gt;Settings!$B$3),1,0))</f>
        <v/>
      </c>
      <c r="G116" s="17" t="str">
        <f aca="false">IF($B116&lt;&gt;1,"",IF(SUMPRODUCT(--($B$2:$B$201=1),--(LEFT(Data!$B$2:$B$201,8)=LEFT(Data!B116,8)))&gt;1,1,0))</f>
        <v/>
      </c>
      <c r="H116" s="17" t="str">
        <f aca="false">IF($B116&lt;&gt;1,"",IF(Data!D116="",1,0))</f>
        <v/>
      </c>
      <c r="I116" s="17" t="str">
        <f aca="false">IF($A116="","",IF(AND(Data!J116&lt;&gt;"",ISNUMBER(Data!J116),Data!J116&lt;Settings!$B$2,Data!G116="Active"),1,0))</f>
        <v/>
      </c>
      <c r="J116" s="17" t="str">
        <f aca="false">IF($A116="","",IF($B116&lt;&gt;1,0,(1-N($C116))+(1-N($D116))+(1-N($E116))+N($F116)+N($G116)+N($H116)+N($I116)))</f>
        <v/>
      </c>
    </row>
    <row r="117" customFormat="false" ht="15" hidden="false" customHeight="false" outlineLevel="0" collapsed="false">
      <c r="A117" s="18" t="str">
        <f aca="false">IF(Data!A117="","",Data!A117)</f>
        <v/>
      </c>
      <c r="B117" s="18" t="str">
        <f aca="false">IF($A117="","",IF(Data!G117="Active",1,0))</f>
        <v/>
      </c>
      <c r="C117" s="18" t="str">
        <f aca="false">IF($B117&lt;&gt;1,"",IF(COUNTBLANK(Data!B117:H117)=0,1,0))</f>
        <v/>
      </c>
      <c r="D117" s="18" t="str">
        <f aca="false">IF($B117&lt;&gt;1,"",IF(LEFT(Data!E117,4)="OWN-",1,0))</f>
        <v/>
      </c>
      <c r="E117" s="18" t="str">
        <f aca="false">IF($B117&lt;&gt;1,"",IF(LEFT(Data!F117,4)="OWN-",1,0))</f>
        <v/>
      </c>
      <c r="F117" s="18" t="str">
        <f aca="false">IF($B117&lt;&gt;1,"",IF(OR(Data!I117="",(Settings!$B$2-Data!I117)&gt;Settings!$B$3),1,0))</f>
        <v/>
      </c>
      <c r="G117" s="18" t="str">
        <f aca="false">IF($B117&lt;&gt;1,"",IF(SUMPRODUCT(--($B$2:$B$201=1),--(LEFT(Data!$B$2:$B$201,8)=LEFT(Data!B117,8)))&gt;1,1,0))</f>
        <v/>
      </c>
      <c r="H117" s="18" t="str">
        <f aca="false">IF($B117&lt;&gt;1,"",IF(Data!D117="",1,0))</f>
        <v/>
      </c>
      <c r="I117" s="18" t="str">
        <f aca="false">IF($A117="","",IF(AND(Data!J117&lt;&gt;"",ISNUMBER(Data!J117),Data!J117&lt;Settings!$B$2,Data!G117="Active"),1,0))</f>
        <v/>
      </c>
      <c r="J117" s="18" t="str">
        <f aca="false">IF($A117="","",IF($B117&lt;&gt;1,0,(1-N($C117))+(1-N($D117))+(1-N($E117))+N($F117)+N($G117)+N($H117)+N($I117)))</f>
        <v/>
      </c>
    </row>
    <row r="118" customFormat="false" ht="15" hidden="false" customHeight="false" outlineLevel="0" collapsed="false">
      <c r="A118" s="17" t="str">
        <f aca="false">IF(Data!A118="","",Data!A118)</f>
        <v/>
      </c>
      <c r="B118" s="17" t="str">
        <f aca="false">IF($A118="","",IF(Data!G118="Active",1,0))</f>
        <v/>
      </c>
      <c r="C118" s="17" t="str">
        <f aca="false">IF($B118&lt;&gt;1,"",IF(COUNTBLANK(Data!B118:H118)=0,1,0))</f>
        <v/>
      </c>
      <c r="D118" s="17" t="str">
        <f aca="false">IF($B118&lt;&gt;1,"",IF(LEFT(Data!E118,4)="OWN-",1,0))</f>
        <v/>
      </c>
      <c r="E118" s="17" t="str">
        <f aca="false">IF($B118&lt;&gt;1,"",IF(LEFT(Data!F118,4)="OWN-",1,0))</f>
        <v/>
      </c>
      <c r="F118" s="17" t="str">
        <f aca="false">IF($B118&lt;&gt;1,"",IF(OR(Data!I118="",(Settings!$B$2-Data!I118)&gt;Settings!$B$3),1,0))</f>
        <v/>
      </c>
      <c r="G118" s="17" t="str">
        <f aca="false">IF($B118&lt;&gt;1,"",IF(SUMPRODUCT(--($B$2:$B$201=1),--(LEFT(Data!$B$2:$B$201,8)=LEFT(Data!B118,8)))&gt;1,1,0))</f>
        <v/>
      </c>
      <c r="H118" s="17" t="str">
        <f aca="false">IF($B118&lt;&gt;1,"",IF(Data!D118="",1,0))</f>
        <v/>
      </c>
      <c r="I118" s="17" t="str">
        <f aca="false">IF($A118="","",IF(AND(Data!J118&lt;&gt;"",ISNUMBER(Data!J118),Data!J118&lt;Settings!$B$2,Data!G118="Active"),1,0))</f>
        <v/>
      </c>
      <c r="J118" s="17" t="str">
        <f aca="false">IF($A118="","",IF($B118&lt;&gt;1,0,(1-N($C118))+(1-N($D118))+(1-N($E118))+N($F118)+N($G118)+N($H118)+N($I118)))</f>
        <v/>
      </c>
    </row>
    <row r="119" customFormat="false" ht="15" hidden="false" customHeight="false" outlineLevel="0" collapsed="false">
      <c r="A119" s="18" t="str">
        <f aca="false">IF(Data!A119="","",Data!A119)</f>
        <v/>
      </c>
      <c r="B119" s="18" t="str">
        <f aca="false">IF($A119="","",IF(Data!G119="Active",1,0))</f>
        <v/>
      </c>
      <c r="C119" s="18" t="str">
        <f aca="false">IF($B119&lt;&gt;1,"",IF(COUNTBLANK(Data!B119:H119)=0,1,0))</f>
        <v/>
      </c>
      <c r="D119" s="18" t="str">
        <f aca="false">IF($B119&lt;&gt;1,"",IF(LEFT(Data!E119,4)="OWN-",1,0))</f>
        <v/>
      </c>
      <c r="E119" s="18" t="str">
        <f aca="false">IF($B119&lt;&gt;1,"",IF(LEFT(Data!F119,4)="OWN-",1,0))</f>
        <v/>
      </c>
      <c r="F119" s="18" t="str">
        <f aca="false">IF($B119&lt;&gt;1,"",IF(OR(Data!I119="",(Settings!$B$2-Data!I119)&gt;Settings!$B$3),1,0))</f>
        <v/>
      </c>
      <c r="G119" s="18" t="str">
        <f aca="false">IF($B119&lt;&gt;1,"",IF(SUMPRODUCT(--($B$2:$B$201=1),--(LEFT(Data!$B$2:$B$201,8)=LEFT(Data!B119,8)))&gt;1,1,0))</f>
        <v/>
      </c>
      <c r="H119" s="18" t="str">
        <f aca="false">IF($B119&lt;&gt;1,"",IF(Data!D119="",1,0))</f>
        <v/>
      </c>
      <c r="I119" s="18" t="str">
        <f aca="false">IF($A119="","",IF(AND(Data!J119&lt;&gt;"",ISNUMBER(Data!J119),Data!J119&lt;Settings!$B$2,Data!G119="Active"),1,0))</f>
        <v/>
      </c>
      <c r="J119" s="18" t="str">
        <f aca="false">IF($A119="","",IF($B119&lt;&gt;1,0,(1-N($C119))+(1-N($D119))+(1-N($E119))+N($F119)+N($G119)+N($H119)+N($I119)))</f>
        <v/>
      </c>
    </row>
    <row r="120" customFormat="false" ht="15" hidden="false" customHeight="false" outlineLevel="0" collapsed="false">
      <c r="A120" s="17" t="str">
        <f aca="false">IF(Data!A120="","",Data!A120)</f>
        <v/>
      </c>
      <c r="B120" s="17" t="str">
        <f aca="false">IF($A120="","",IF(Data!G120="Active",1,0))</f>
        <v/>
      </c>
      <c r="C120" s="17" t="str">
        <f aca="false">IF($B120&lt;&gt;1,"",IF(COUNTBLANK(Data!B120:H120)=0,1,0))</f>
        <v/>
      </c>
      <c r="D120" s="17" t="str">
        <f aca="false">IF($B120&lt;&gt;1,"",IF(LEFT(Data!E120,4)="OWN-",1,0))</f>
        <v/>
      </c>
      <c r="E120" s="17" t="str">
        <f aca="false">IF($B120&lt;&gt;1,"",IF(LEFT(Data!F120,4)="OWN-",1,0))</f>
        <v/>
      </c>
      <c r="F120" s="17" t="str">
        <f aca="false">IF($B120&lt;&gt;1,"",IF(OR(Data!I120="",(Settings!$B$2-Data!I120)&gt;Settings!$B$3),1,0))</f>
        <v/>
      </c>
      <c r="G120" s="17" t="str">
        <f aca="false">IF($B120&lt;&gt;1,"",IF(SUMPRODUCT(--($B$2:$B$201=1),--(LEFT(Data!$B$2:$B$201,8)=LEFT(Data!B120,8)))&gt;1,1,0))</f>
        <v/>
      </c>
      <c r="H120" s="17" t="str">
        <f aca="false">IF($B120&lt;&gt;1,"",IF(Data!D120="",1,0))</f>
        <v/>
      </c>
      <c r="I120" s="17" t="str">
        <f aca="false">IF($A120="","",IF(AND(Data!J120&lt;&gt;"",ISNUMBER(Data!J120),Data!J120&lt;Settings!$B$2,Data!G120="Active"),1,0))</f>
        <v/>
      </c>
      <c r="J120" s="17" t="str">
        <f aca="false">IF($A120="","",IF($B120&lt;&gt;1,0,(1-N($C120))+(1-N($D120))+(1-N($E120))+N($F120)+N($G120)+N($H120)+N($I120)))</f>
        <v/>
      </c>
    </row>
    <row r="121" customFormat="false" ht="15" hidden="false" customHeight="false" outlineLevel="0" collapsed="false">
      <c r="A121" s="18" t="str">
        <f aca="false">IF(Data!A121="","",Data!A121)</f>
        <v/>
      </c>
      <c r="B121" s="18" t="str">
        <f aca="false">IF($A121="","",IF(Data!G121="Active",1,0))</f>
        <v/>
      </c>
      <c r="C121" s="18" t="str">
        <f aca="false">IF($B121&lt;&gt;1,"",IF(COUNTBLANK(Data!B121:H121)=0,1,0))</f>
        <v/>
      </c>
      <c r="D121" s="18" t="str">
        <f aca="false">IF($B121&lt;&gt;1,"",IF(LEFT(Data!E121,4)="OWN-",1,0))</f>
        <v/>
      </c>
      <c r="E121" s="18" t="str">
        <f aca="false">IF($B121&lt;&gt;1,"",IF(LEFT(Data!F121,4)="OWN-",1,0))</f>
        <v/>
      </c>
      <c r="F121" s="18" t="str">
        <f aca="false">IF($B121&lt;&gt;1,"",IF(OR(Data!I121="",(Settings!$B$2-Data!I121)&gt;Settings!$B$3),1,0))</f>
        <v/>
      </c>
      <c r="G121" s="18" t="str">
        <f aca="false">IF($B121&lt;&gt;1,"",IF(SUMPRODUCT(--($B$2:$B$201=1),--(LEFT(Data!$B$2:$B$201,8)=LEFT(Data!B121,8)))&gt;1,1,0))</f>
        <v/>
      </c>
      <c r="H121" s="18" t="str">
        <f aca="false">IF($B121&lt;&gt;1,"",IF(Data!D121="",1,0))</f>
        <v/>
      </c>
      <c r="I121" s="18" t="str">
        <f aca="false">IF($A121="","",IF(AND(Data!J121&lt;&gt;"",ISNUMBER(Data!J121),Data!J121&lt;Settings!$B$2,Data!G121="Active"),1,0))</f>
        <v/>
      </c>
      <c r="J121" s="18" t="str">
        <f aca="false">IF($A121="","",IF($B121&lt;&gt;1,0,(1-N($C121))+(1-N($D121))+(1-N($E121))+N($F121)+N($G121)+N($H121)+N($I121)))</f>
        <v/>
      </c>
    </row>
    <row r="122" customFormat="false" ht="15" hidden="false" customHeight="false" outlineLevel="0" collapsed="false">
      <c r="A122" s="17" t="str">
        <f aca="false">IF(Data!A122="","",Data!A122)</f>
        <v/>
      </c>
      <c r="B122" s="17" t="str">
        <f aca="false">IF($A122="","",IF(Data!G122="Active",1,0))</f>
        <v/>
      </c>
      <c r="C122" s="17" t="str">
        <f aca="false">IF($B122&lt;&gt;1,"",IF(COUNTBLANK(Data!B122:H122)=0,1,0))</f>
        <v/>
      </c>
      <c r="D122" s="17" t="str">
        <f aca="false">IF($B122&lt;&gt;1,"",IF(LEFT(Data!E122,4)="OWN-",1,0))</f>
        <v/>
      </c>
      <c r="E122" s="17" t="str">
        <f aca="false">IF($B122&lt;&gt;1,"",IF(LEFT(Data!F122,4)="OWN-",1,0))</f>
        <v/>
      </c>
      <c r="F122" s="17" t="str">
        <f aca="false">IF($B122&lt;&gt;1,"",IF(OR(Data!I122="",(Settings!$B$2-Data!I122)&gt;Settings!$B$3),1,0))</f>
        <v/>
      </c>
      <c r="G122" s="17" t="str">
        <f aca="false">IF($B122&lt;&gt;1,"",IF(SUMPRODUCT(--($B$2:$B$201=1),--(LEFT(Data!$B$2:$B$201,8)=LEFT(Data!B122,8)))&gt;1,1,0))</f>
        <v/>
      </c>
      <c r="H122" s="17" t="str">
        <f aca="false">IF($B122&lt;&gt;1,"",IF(Data!D122="",1,0))</f>
        <v/>
      </c>
      <c r="I122" s="17" t="str">
        <f aca="false">IF($A122="","",IF(AND(Data!J122&lt;&gt;"",ISNUMBER(Data!J122),Data!J122&lt;Settings!$B$2,Data!G122="Active"),1,0))</f>
        <v/>
      </c>
      <c r="J122" s="17" t="str">
        <f aca="false">IF($A122="","",IF($B122&lt;&gt;1,0,(1-N($C122))+(1-N($D122))+(1-N($E122))+N($F122)+N($G122)+N($H122)+N($I122)))</f>
        <v/>
      </c>
    </row>
    <row r="123" customFormat="false" ht="15" hidden="false" customHeight="false" outlineLevel="0" collapsed="false">
      <c r="A123" s="18" t="str">
        <f aca="false">IF(Data!A123="","",Data!A123)</f>
        <v/>
      </c>
      <c r="B123" s="18" t="str">
        <f aca="false">IF($A123="","",IF(Data!G123="Active",1,0))</f>
        <v/>
      </c>
      <c r="C123" s="18" t="str">
        <f aca="false">IF($B123&lt;&gt;1,"",IF(COUNTBLANK(Data!B123:H123)=0,1,0))</f>
        <v/>
      </c>
      <c r="D123" s="18" t="str">
        <f aca="false">IF($B123&lt;&gt;1,"",IF(LEFT(Data!E123,4)="OWN-",1,0))</f>
        <v/>
      </c>
      <c r="E123" s="18" t="str">
        <f aca="false">IF($B123&lt;&gt;1,"",IF(LEFT(Data!F123,4)="OWN-",1,0))</f>
        <v/>
      </c>
      <c r="F123" s="18" t="str">
        <f aca="false">IF($B123&lt;&gt;1,"",IF(OR(Data!I123="",(Settings!$B$2-Data!I123)&gt;Settings!$B$3),1,0))</f>
        <v/>
      </c>
      <c r="G123" s="18" t="str">
        <f aca="false">IF($B123&lt;&gt;1,"",IF(SUMPRODUCT(--($B$2:$B$201=1),--(LEFT(Data!$B$2:$B$201,8)=LEFT(Data!B123,8)))&gt;1,1,0))</f>
        <v/>
      </c>
      <c r="H123" s="18" t="str">
        <f aca="false">IF($B123&lt;&gt;1,"",IF(Data!D123="",1,0))</f>
        <v/>
      </c>
      <c r="I123" s="18" t="str">
        <f aca="false">IF($A123="","",IF(AND(Data!J123&lt;&gt;"",ISNUMBER(Data!J123),Data!J123&lt;Settings!$B$2,Data!G123="Active"),1,0))</f>
        <v/>
      </c>
      <c r="J123" s="18" t="str">
        <f aca="false">IF($A123="","",IF($B123&lt;&gt;1,0,(1-N($C123))+(1-N($D123))+(1-N($E123))+N($F123)+N($G123)+N($H123)+N($I123)))</f>
        <v/>
      </c>
    </row>
    <row r="124" customFormat="false" ht="15" hidden="false" customHeight="false" outlineLevel="0" collapsed="false">
      <c r="A124" s="17" t="str">
        <f aca="false">IF(Data!A124="","",Data!A124)</f>
        <v/>
      </c>
      <c r="B124" s="17" t="str">
        <f aca="false">IF($A124="","",IF(Data!G124="Active",1,0))</f>
        <v/>
      </c>
      <c r="C124" s="17" t="str">
        <f aca="false">IF($B124&lt;&gt;1,"",IF(COUNTBLANK(Data!B124:H124)=0,1,0))</f>
        <v/>
      </c>
      <c r="D124" s="17" t="str">
        <f aca="false">IF($B124&lt;&gt;1,"",IF(LEFT(Data!E124,4)="OWN-",1,0))</f>
        <v/>
      </c>
      <c r="E124" s="17" t="str">
        <f aca="false">IF($B124&lt;&gt;1,"",IF(LEFT(Data!F124,4)="OWN-",1,0))</f>
        <v/>
      </c>
      <c r="F124" s="17" t="str">
        <f aca="false">IF($B124&lt;&gt;1,"",IF(OR(Data!I124="",(Settings!$B$2-Data!I124)&gt;Settings!$B$3),1,0))</f>
        <v/>
      </c>
      <c r="G124" s="17" t="str">
        <f aca="false">IF($B124&lt;&gt;1,"",IF(SUMPRODUCT(--($B$2:$B$201=1),--(LEFT(Data!$B$2:$B$201,8)=LEFT(Data!B124,8)))&gt;1,1,0))</f>
        <v/>
      </c>
      <c r="H124" s="17" t="str">
        <f aca="false">IF($B124&lt;&gt;1,"",IF(Data!D124="",1,0))</f>
        <v/>
      </c>
      <c r="I124" s="17" t="str">
        <f aca="false">IF($A124="","",IF(AND(Data!J124&lt;&gt;"",ISNUMBER(Data!J124),Data!J124&lt;Settings!$B$2,Data!G124="Active"),1,0))</f>
        <v/>
      </c>
      <c r="J124" s="17" t="str">
        <f aca="false">IF($A124="","",IF($B124&lt;&gt;1,0,(1-N($C124))+(1-N($D124))+(1-N($E124))+N($F124)+N($G124)+N($H124)+N($I124)))</f>
        <v/>
      </c>
    </row>
    <row r="125" customFormat="false" ht="15" hidden="false" customHeight="false" outlineLevel="0" collapsed="false">
      <c r="A125" s="18" t="str">
        <f aca="false">IF(Data!A125="","",Data!A125)</f>
        <v/>
      </c>
      <c r="B125" s="18" t="str">
        <f aca="false">IF($A125="","",IF(Data!G125="Active",1,0))</f>
        <v/>
      </c>
      <c r="C125" s="18" t="str">
        <f aca="false">IF($B125&lt;&gt;1,"",IF(COUNTBLANK(Data!B125:H125)=0,1,0))</f>
        <v/>
      </c>
      <c r="D125" s="18" t="str">
        <f aca="false">IF($B125&lt;&gt;1,"",IF(LEFT(Data!E125,4)="OWN-",1,0))</f>
        <v/>
      </c>
      <c r="E125" s="18" t="str">
        <f aca="false">IF($B125&lt;&gt;1,"",IF(LEFT(Data!F125,4)="OWN-",1,0))</f>
        <v/>
      </c>
      <c r="F125" s="18" t="str">
        <f aca="false">IF($B125&lt;&gt;1,"",IF(OR(Data!I125="",(Settings!$B$2-Data!I125)&gt;Settings!$B$3),1,0))</f>
        <v/>
      </c>
      <c r="G125" s="18" t="str">
        <f aca="false">IF($B125&lt;&gt;1,"",IF(SUMPRODUCT(--($B$2:$B$201=1),--(LEFT(Data!$B$2:$B$201,8)=LEFT(Data!B125,8)))&gt;1,1,0))</f>
        <v/>
      </c>
      <c r="H125" s="18" t="str">
        <f aca="false">IF($B125&lt;&gt;1,"",IF(Data!D125="",1,0))</f>
        <v/>
      </c>
      <c r="I125" s="18" t="str">
        <f aca="false">IF($A125="","",IF(AND(Data!J125&lt;&gt;"",ISNUMBER(Data!J125),Data!J125&lt;Settings!$B$2,Data!G125="Active"),1,0))</f>
        <v/>
      </c>
      <c r="J125" s="18" t="str">
        <f aca="false">IF($A125="","",IF($B125&lt;&gt;1,0,(1-N($C125))+(1-N($D125))+(1-N($E125))+N($F125)+N($G125)+N($H125)+N($I125)))</f>
        <v/>
      </c>
    </row>
    <row r="126" customFormat="false" ht="15" hidden="false" customHeight="false" outlineLevel="0" collapsed="false">
      <c r="A126" s="17" t="str">
        <f aca="false">IF(Data!A126="","",Data!A126)</f>
        <v/>
      </c>
      <c r="B126" s="17" t="str">
        <f aca="false">IF($A126="","",IF(Data!G126="Active",1,0))</f>
        <v/>
      </c>
      <c r="C126" s="17" t="str">
        <f aca="false">IF($B126&lt;&gt;1,"",IF(COUNTBLANK(Data!B126:H126)=0,1,0))</f>
        <v/>
      </c>
      <c r="D126" s="17" t="str">
        <f aca="false">IF($B126&lt;&gt;1,"",IF(LEFT(Data!E126,4)="OWN-",1,0))</f>
        <v/>
      </c>
      <c r="E126" s="17" t="str">
        <f aca="false">IF($B126&lt;&gt;1,"",IF(LEFT(Data!F126,4)="OWN-",1,0))</f>
        <v/>
      </c>
      <c r="F126" s="17" t="str">
        <f aca="false">IF($B126&lt;&gt;1,"",IF(OR(Data!I126="",(Settings!$B$2-Data!I126)&gt;Settings!$B$3),1,0))</f>
        <v/>
      </c>
      <c r="G126" s="17" t="str">
        <f aca="false">IF($B126&lt;&gt;1,"",IF(SUMPRODUCT(--($B$2:$B$201=1),--(LEFT(Data!$B$2:$B$201,8)=LEFT(Data!B126,8)))&gt;1,1,0))</f>
        <v/>
      </c>
      <c r="H126" s="17" t="str">
        <f aca="false">IF($B126&lt;&gt;1,"",IF(Data!D126="",1,0))</f>
        <v/>
      </c>
      <c r="I126" s="17" t="str">
        <f aca="false">IF($A126="","",IF(AND(Data!J126&lt;&gt;"",ISNUMBER(Data!J126),Data!J126&lt;Settings!$B$2,Data!G126="Active"),1,0))</f>
        <v/>
      </c>
      <c r="J126" s="17" t="str">
        <f aca="false">IF($A126="","",IF($B126&lt;&gt;1,0,(1-N($C126))+(1-N($D126))+(1-N($E126))+N($F126)+N($G126)+N($H126)+N($I126)))</f>
        <v/>
      </c>
    </row>
    <row r="127" customFormat="false" ht="15" hidden="false" customHeight="false" outlineLevel="0" collapsed="false">
      <c r="A127" s="18" t="str">
        <f aca="false">IF(Data!A127="","",Data!A127)</f>
        <v/>
      </c>
      <c r="B127" s="18" t="str">
        <f aca="false">IF($A127="","",IF(Data!G127="Active",1,0))</f>
        <v/>
      </c>
      <c r="C127" s="18" t="str">
        <f aca="false">IF($B127&lt;&gt;1,"",IF(COUNTBLANK(Data!B127:H127)=0,1,0))</f>
        <v/>
      </c>
      <c r="D127" s="18" t="str">
        <f aca="false">IF($B127&lt;&gt;1,"",IF(LEFT(Data!E127,4)="OWN-",1,0))</f>
        <v/>
      </c>
      <c r="E127" s="18" t="str">
        <f aca="false">IF($B127&lt;&gt;1,"",IF(LEFT(Data!F127,4)="OWN-",1,0))</f>
        <v/>
      </c>
      <c r="F127" s="18" t="str">
        <f aca="false">IF($B127&lt;&gt;1,"",IF(OR(Data!I127="",(Settings!$B$2-Data!I127)&gt;Settings!$B$3),1,0))</f>
        <v/>
      </c>
      <c r="G127" s="18" t="str">
        <f aca="false">IF($B127&lt;&gt;1,"",IF(SUMPRODUCT(--($B$2:$B$201=1),--(LEFT(Data!$B$2:$B$201,8)=LEFT(Data!B127,8)))&gt;1,1,0))</f>
        <v/>
      </c>
      <c r="H127" s="18" t="str">
        <f aca="false">IF($B127&lt;&gt;1,"",IF(Data!D127="",1,0))</f>
        <v/>
      </c>
      <c r="I127" s="18" t="str">
        <f aca="false">IF($A127="","",IF(AND(Data!J127&lt;&gt;"",ISNUMBER(Data!J127),Data!J127&lt;Settings!$B$2,Data!G127="Active"),1,0))</f>
        <v/>
      </c>
      <c r="J127" s="18" t="str">
        <f aca="false">IF($A127="","",IF($B127&lt;&gt;1,0,(1-N($C127))+(1-N($D127))+(1-N($E127))+N($F127)+N($G127)+N($H127)+N($I127)))</f>
        <v/>
      </c>
    </row>
    <row r="128" customFormat="false" ht="15" hidden="false" customHeight="false" outlineLevel="0" collapsed="false">
      <c r="A128" s="17" t="str">
        <f aca="false">IF(Data!A128="","",Data!A128)</f>
        <v/>
      </c>
      <c r="B128" s="17" t="str">
        <f aca="false">IF($A128="","",IF(Data!G128="Active",1,0))</f>
        <v/>
      </c>
      <c r="C128" s="17" t="str">
        <f aca="false">IF($B128&lt;&gt;1,"",IF(COUNTBLANK(Data!B128:H128)=0,1,0))</f>
        <v/>
      </c>
      <c r="D128" s="17" t="str">
        <f aca="false">IF($B128&lt;&gt;1,"",IF(LEFT(Data!E128,4)="OWN-",1,0))</f>
        <v/>
      </c>
      <c r="E128" s="17" t="str">
        <f aca="false">IF($B128&lt;&gt;1,"",IF(LEFT(Data!F128,4)="OWN-",1,0))</f>
        <v/>
      </c>
      <c r="F128" s="17" t="str">
        <f aca="false">IF($B128&lt;&gt;1,"",IF(OR(Data!I128="",(Settings!$B$2-Data!I128)&gt;Settings!$B$3),1,0))</f>
        <v/>
      </c>
      <c r="G128" s="17" t="str">
        <f aca="false">IF($B128&lt;&gt;1,"",IF(SUMPRODUCT(--($B$2:$B$201=1),--(LEFT(Data!$B$2:$B$201,8)=LEFT(Data!B128,8)))&gt;1,1,0))</f>
        <v/>
      </c>
      <c r="H128" s="17" t="str">
        <f aca="false">IF($B128&lt;&gt;1,"",IF(Data!D128="",1,0))</f>
        <v/>
      </c>
      <c r="I128" s="17" t="str">
        <f aca="false">IF($A128="","",IF(AND(Data!J128&lt;&gt;"",ISNUMBER(Data!J128),Data!J128&lt;Settings!$B$2,Data!G128="Active"),1,0))</f>
        <v/>
      </c>
      <c r="J128" s="17" t="str">
        <f aca="false">IF($A128="","",IF($B128&lt;&gt;1,0,(1-N($C128))+(1-N($D128))+(1-N($E128))+N($F128)+N($G128)+N($H128)+N($I128)))</f>
        <v/>
      </c>
    </row>
    <row r="129" customFormat="false" ht="15" hidden="false" customHeight="false" outlineLevel="0" collapsed="false">
      <c r="A129" s="18" t="str">
        <f aca="false">IF(Data!A129="","",Data!A129)</f>
        <v/>
      </c>
      <c r="B129" s="18" t="str">
        <f aca="false">IF($A129="","",IF(Data!G129="Active",1,0))</f>
        <v/>
      </c>
      <c r="C129" s="18" t="str">
        <f aca="false">IF($B129&lt;&gt;1,"",IF(COUNTBLANK(Data!B129:H129)=0,1,0))</f>
        <v/>
      </c>
      <c r="D129" s="18" t="str">
        <f aca="false">IF($B129&lt;&gt;1,"",IF(LEFT(Data!E129,4)="OWN-",1,0))</f>
        <v/>
      </c>
      <c r="E129" s="18" t="str">
        <f aca="false">IF($B129&lt;&gt;1,"",IF(LEFT(Data!F129,4)="OWN-",1,0))</f>
        <v/>
      </c>
      <c r="F129" s="18" t="str">
        <f aca="false">IF($B129&lt;&gt;1,"",IF(OR(Data!I129="",(Settings!$B$2-Data!I129)&gt;Settings!$B$3),1,0))</f>
        <v/>
      </c>
      <c r="G129" s="18" t="str">
        <f aca="false">IF($B129&lt;&gt;1,"",IF(SUMPRODUCT(--($B$2:$B$201=1),--(LEFT(Data!$B$2:$B$201,8)=LEFT(Data!B129,8)))&gt;1,1,0))</f>
        <v/>
      </c>
      <c r="H129" s="18" t="str">
        <f aca="false">IF($B129&lt;&gt;1,"",IF(Data!D129="",1,0))</f>
        <v/>
      </c>
      <c r="I129" s="18" t="str">
        <f aca="false">IF($A129="","",IF(AND(Data!J129&lt;&gt;"",ISNUMBER(Data!J129),Data!J129&lt;Settings!$B$2,Data!G129="Active"),1,0))</f>
        <v/>
      </c>
      <c r="J129" s="18" t="str">
        <f aca="false">IF($A129="","",IF($B129&lt;&gt;1,0,(1-N($C129))+(1-N($D129))+(1-N($E129))+N($F129)+N($G129)+N($H129)+N($I129)))</f>
        <v/>
      </c>
    </row>
    <row r="130" customFormat="false" ht="15" hidden="false" customHeight="false" outlineLevel="0" collapsed="false">
      <c r="A130" s="17" t="str">
        <f aca="false">IF(Data!A130="","",Data!A130)</f>
        <v/>
      </c>
      <c r="B130" s="17" t="str">
        <f aca="false">IF($A130="","",IF(Data!G130="Active",1,0))</f>
        <v/>
      </c>
      <c r="C130" s="17" t="str">
        <f aca="false">IF($B130&lt;&gt;1,"",IF(COUNTBLANK(Data!B130:H130)=0,1,0))</f>
        <v/>
      </c>
      <c r="D130" s="17" t="str">
        <f aca="false">IF($B130&lt;&gt;1,"",IF(LEFT(Data!E130,4)="OWN-",1,0))</f>
        <v/>
      </c>
      <c r="E130" s="17" t="str">
        <f aca="false">IF($B130&lt;&gt;1,"",IF(LEFT(Data!F130,4)="OWN-",1,0))</f>
        <v/>
      </c>
      <c r="F130" s="17" t="str">
        <f aca="false">IF($B130&lt;&gt;1,"",IF(OR(Data!I130="",(Settings!$B$2-Data!I130)&gt;Settings!$B$3),1,0))</f>
        <v/>
      </c>
      <c r="G130" s="17" t="str">
        <f aca="false">IF($B130&lt;&gt;1,"",IF(SUMPRODUCT(--($B$2:$B$201=1),--(LEFT(Data!$B$2:$B$201,8)=LEFT(Data!B130,8)))&gt;1,1,0))</f>
        <v/>
      </c>
      <c r="H130" s="17" t="str">
        <f aca="false">IF($B130&lt;&gt;1,"",IF(Data!D130="",1,0))</f>
        <v/>
      </c>
      <c r="I130" s="17" t="str">
        <f aca="false">IF($A130="","",IF(AND(Data!J130&lt;&gt;"",ISNUMBER(Data!J130),Data!J130&lt;Settings!$B$2,Data!G130="Active"),1,0))</f>
        <v/>
      </c>
      <c r="J130" s="17" t="str">
        <f aca="false">IF($A130="","",IF($B130&lt;&gt;1,0,(1-N($C130))+(1-N($D130))+(1-N($E130))+N($F130)+N($G130)+N($H130)+N($I130)))</f>
        <v/>
      </c>
    </row>
    <row r="131" customFormat="false" ht="15" hidden="false" customHeight="false" outlineLevel="0" collapsed="false">
      <c r="A131" s="18" t="str">
        <f aca="false">IF(Data!A131="","",Data!A131)</f>
        <v/>
      </c>
      <c r="B131" s="18" t="str">
        <f aca="false">IF($A131="","",IF(Data!G131="Active",1,0))</f>
        <v/>
      </c>
      <c r="C131" s="18" t="str">
        <f aca="false">IF($B131&lt;&gt;1,"",IF(COUNTBLANK(Data!B131:H131)=0,1,0))</f>
        <v/>
      </c>
      <c r="D131" s="18" t="str">
        <f aca="false">IF($B131&lt;&gt;1,"",IF(LEFT(Data!E131,4)="OWN-",1,0))</f>
        <v/>
      </c>
      <c r="E131" s="18" t="str">
        <f aca="false">IF($B131&lt;&gt;1,"",IF(LEFT(Data!F131,4)="OWN-",1,0))</f>
        <v/>
      </c>
      <c r="F131" s="18" t="str">
        <f aca="false">IF($B131&lt;&gt;1,"",IF(OR(Data!I131="",(Settings!$B$2-Data!I131)&gt;Settings!$B$3),1,0))</f>
        <v/>
      </c>
      <c r="G131" s="18" t="str">
        <f aca="false">IF($B131&lt;&gt;1,"",IF(SUMPRODUCT(--($B$2:$B$201=1),--(LEFT(Data!$B$2:$B$201,8)=LEFT(Data!B131,8)))&gt;1,1,0))</f>
        <v/>
      </c>
      <c r="H131" s="18" t="str">
        <f aca="false">IF($B131&lt;&gt;1,"",IF(Data!D131="",1,0))</f>
        <v/>
      </c>
      <c r="I131" s="18" t="str">
        <f aca="false">IF($A131="","",IF(AND(Data!J131&lt;&gt;"",ISNUMBER(Data!J131),Data!J131&lt;Settings!$B$2,Data!G131="Active"),1,0))</f>
        <v/>
      </c>
      <c r="J131" s="18" t="str">
        <f aca="false">IF($A131="","",IF($B131&lt;&gt;1,0,(1-N($C131))+(1-N($D131))+(1-N($E131))+N($F131)+N($G131)+N($H131)+N($I131)))</f>
        <v/>
      </c>
    </row>
    <row r="132" customFormat="false" ht="15" hidden="false" customHeight="false" outlineLevel="0" collapsed="false">
      <c r="A132" s="17" t="str">
        <f aca="false">IF(Data!A132="","",Data!A132)</f>
        <v/>
      </c>
      <c r="B132" s="17" t="str">
        <f aca="false">IF($A132="","",IF(Data!G132="Active",1,0))</f>
        <v/>
      </c>
      <c r="C132" s="17" t="str">
        <f aca="false">IF($B132&lt;&gt;1,"",IF(COUNTBLANK(Data!B132:H132)=0,1,0))</f>
        <v/>
      </c>
      <c r="D132" s="17" t="str">
        <f aca="false">IF($B132&lt;&gt;1,"",IF(LEFT(Data!E132,4)="OWN-",1,0))</f>
        <v/>
      </c>
      <c r="E132" s="17" t="str">
        <f aca="false">IF($B132&lt;&gt;1,"",IF(LEFT(Data!F132,4)="OWN-",1,0))</f>
        <v/>
      </c>
      <c r="F132" s="17" t="str">
        <f aca="false">IF($B132&lt;&gt;1,"",IF(OR(Data!I132="",(Settings!$B$2-Data!I132)&gt;Settings!$B$3),1,0))</f>
        <v/>
      </c>
      <c r="G132" s="17" t="str">
        <f aca="false">IF($B132&lt;&gt;1,"",IF(SUMPRODUCT(--($B$2:$B$201=1),--(LEFT(Data!$B$2:$B$201,8)=LEFT(Data!B132,8)))&gt;1,1,0))</f>
        <v/>
      </c>
      <c r="H132" s="17" t="str">
        <f aca="false">IF($B132&lt;&gt;1,"",IF(Data!D132="",1,0))</f>
        <v/>
      </c>
      <c r="I132" s="17" t="str">
        <f aca="false">IF($A132="","",IF(AND(Data!J132&lt;&gt;"",ISNUMBER(Data!J132),Data!J132&lt;Settings!$B$2,Data!G132="Active"),1,0))</f>
        <v/>
      </c>
      <c r="J132" s="17" t="str">
        <f aca="false">IF($A132="","",IF($B132&lt;&gt;1,0,(1-N($C132))+(1-N($D132))+(1-N($E132))+N($F132)+N($G132)+N($H132)+N($I132)))</f>
        <v/>
      </c>
    </row>
    <row r="133" customFormat="false" ht="15" hidden="false" customHeight="false" outlineLevel="0" collapsed="false">
      <c r="A133" s="18" t="str">
        <f aca="false">IF(Data!A133="","",Data!A133)</f>
        <v/>
      </c>
      <c r="B133" s="18" t="str">
        <f aca="false">IF($A133="","",IF(Data!G133="Active",1,0))</f>
        <v/>
      </c>
      <c r="C133" s="18" t="str">
        <f aca="false">IF($B133&lt;&gt;1,"",IF(COUNTBLANK(Data!B133:H133)=0,1,0))</f>
        <v/>
      </c>
      <c r="D133" s="18" t="str">
        <f aca="false">IF($B133&lt;&gt;1,"",IF(LEFT(Data!E133,4)="OWN-",1,0))</f>
        <v/>
      </c>
      <c r="E133" s="18" t="str">
        <f aca="false">IF($B133&lt;&gt;1,"",IF(LEFT(Data!F133,4)="OWN-",1,0))</f>
        <v/>
      </c>
      <c r="F133" s="18" t="str">
        <f aca="false">IF($B133&lt;&gt;1,"",IF(OR(Data!I133="",(Settings!$B$2-Data!I133)&gt;Settings!$B$3),1,0))</f>
        <v/>
      </c>
      <c r="G133" s="18" t="str">
        <f aca="false">IF($B133&lt;&gt;1,"",IF(SUMPRODUCT(--($B$2:$B$201=1),--(LEFT(Data!$B$2:$B$201,8)=LEFT(Data!B133,8)))&gt;1,1,0))</f>
        <v/>
      </c>
      <c r="H133" s="18" t="str">
        <f aca="false">IF($B133&lt;&gt;1,"",IF(Data!D133="",1,0))</f>
        <v/>
      </c>
      <c r="I133" s="18" t="str">
        <f aca="false">IF($A133="","",IF(AND(Data!J133&lt;&gt;"",ISNUMBER(Data!J133),Data!J133&lt;Settings!$B$2,Data!G133="Active"),1,0))</f>
        <v/>
      </c>
      <c r="J133" s="18" t="str">
        <f aca="false">IF($A133="","",IF($B133&lt;&gt;1,0,(1-N($C133))+(1-N($D133))+(1-N($E133))+N($F133)+N($G133)+N($H133)+N($I133)))</f>
        <v/>
      </c>
    </row>
    <row r="134" customFormat="false" ht="15" hidden="false" customHeight="false" outlineLevel="0" collapsed="false">
      <c r="A134" s="17" t="str">
        <f aca="false">IF(Data!A134="","",Data!A134)</f>
        <v/>
      </c>
      <c r="B134" s="17" t="str">
        <f aca="false">IF($A134="","",IF(Data!G134="Active",1,0))</f>
        <v/>
      </c>
      <c r="C134" s="17" t="str">
        <f aca="false">IF($B134&lt;&gt;1,"",IF(COUNTBLANK(Data!B134:H134)=0,1,0))</f>
        <v/>
      </c>
      <c r="D134" s="17" t="str">
        <f aca="false">IF($B134&lt;&gt;1,"",IF(LEFT(Data!E134,4)="OWN-",1,0))</f>
        <v/>
      </c>
      <c r="E134" s="17" t="str">
        <f aca="false">IF($B134&lt;&gt;1,"",IF(LEFT(Data!F134,4)="OWN-",1,0))</f>
        <v/>
      </c>
      <c r="F134" s="17" t="str">
        <f aca="false">IF($B134&lt;&gt;1,"",IF(OR(Data!I134="",(Settings!$B$2-Data!I134)&gt;Settings!$B$3),1,0))</f>
        <v/>
      </c>
      <c r="G134" s="17" t="str">
        <f aca="false">IF($B134&lt;&gt;1,"",IF(SUMPRODUCT(--($B$2:$B$201=1),--(LEFT(Data!$B$2:$B$201,8)=LEFT(Data!B134,8)))&gt;1,1,0))</f>
        <v/>
      </c>
      <c r="H134" s="17" t="str">
        <f aca="false">IF($B134&lt;&gt;1,"",IF(Data!D134="",1,0))</f>
        <v/>
      </c>
      <c r="I134" s="17" t="str">
        <f aca="false">IF($A134="","",IF(AND(Data!J134&lt;&gt;"",ISNUMBER(Data!J134),Data!J134&lt;Settings!$B$2,Data!G134="Active"),1,0))</f>
        <v/>
      </c>
      <c r="J134" s="17" t="str">
        <f aca="false">IF($A134="","",IF($B134&lt;&gt;1,0,(1-N($C134))+(1-N($D134))+(1-N($E134))+N($F134)+N($G134)+N($H134)+N($I134)))</f>
        <v/>
      </c>
    </row>
    <row r="135" customFormat="false" ht="15" hidden="false" customHeight="false" outlineLevel="0" collapsed="false">
      <c r="A135" s="18" t="str">
        <f aca="false">IF(Data!A135="","",Data!A135)</f>
        <v/>
      </c>
      <c r="B135" s="18" t="str">
        <f aca="false">IF($A135="","",IF(Data!G135="Active",1,0))</f>
        <v/>
      </c>
      <c r="C135" s="18" t="str">
        <f aca="false">IF($B135&lt;&gt;1,"",IF(COUNTBLANK(Data!B135:H135)=0,1,0))</f>
        <v/>
      </c>
      <c r="D135" s="18" t="str">
        <f aca="false">IF($B135&lt;&gt;1,"",IF(LEFT(Data!E135,4)="OWN-",1,0))</f>
        <v/>
      </c>
      <c r="E135" s="18" t="str">
        <f aca="false">IF($B135&lt;&gt;1,"",IF(LEFT(Data!F135,4)="OWN-",1,0))</f>
        <v/>
      </c>
      <c r="F135" s="18" t="str">
        <f aca="false">IF($B135&lt;&gt;1,"",IF(OR(Data!I135="",(Settings!$B$2-Data!I135)&gt;Settings!$B$3),1,0))</f>
        <v/>
      </c>
      <c r="G135" s="18" t="str">
        <f aca="false">IF($B135&lt;&gt;1,"",IF(SUMPRODUCT(--($B$2:$B$201=1),--(LEFT(Data!$B$2:$B$201,8)=LEFT(Data!B135,8)))&gt;1,1,0))</f>
        <v/>
      </c>
      <c r="H135" s="18" t="str">
        <f aca="false">IF($B135&lt;&gt;1,"",IF(Data!D135="",1,0))</f>
        <v/>
      </c>
      <c r="I135" s="18" t="str">
        <f aca="false">IF($A135="","",IF(AND(Data!J135&lt;&gt;"",ISNUMBER(Data!J135),Data!J135&lt;Settings!$B$2,Data!G135="Active"),1,0))</f>
        <v/>
      </c>
      <c r="J135" s="18" t="str">
        <f aca="false">IF($A135="","",IF($B135&lt;&gt;1,0,(1-N($C135))+(1-N($D135))+(1-N($E135))+N($F135)+N($G135)+N($H135)+N($I135)))</f>
        <v/>
      </c>
    </row>
    <row r="136" customFormat="false" ht="15" hidden="false" customHeight="false" outlineLevel="0" collapsed="false">
      <c r="A136" s="17" t="str">
        <f aca="false">IF(Data!A136="","",Data!A136)</f>
        <v/>
      </c>
      <c r="B136" s="17" t="str">
        <f aca="false">IF($A136="","",IF(Data!G136="Active",1,0))</f>
        <v/>
      </c>
      <c r="C136" s="17" t="str">
        <f aca="false">IF($B136&lt;&gt;1,"",IF(COUNTBLANK(Data!B136:H136)=0,1,0))</f>
        <v/>
      </c>
      <c r="D136" s="17" t="str">
        <f aca="false">IF($B136&lt;&gt;1,"",IF(LEFT(Data!E136,4)="OWN-",1,0))</f>
        <v/>
      </c>
      <c r="E136" s="17" t="str">
        <f aca="false">IF($B136&lt;&gt;1,"",IF(LEFT(Data!F136,4)="OWN-",1,0))</f>
        <v/>
      </c>
      <c r="F136" s="17" t="str">
        <f aca="false">IF($B136&lt;&gt;1,"",IF(OR(Data!I136="",(Settings!$B$2-Data!I136)&gt;Settings!$B$3),1,0))</f>
        <v/>
      </c>
      <c r="G136" s="17" t="str">
        <f aca="false">IF($B136&lt;&gt;1,"",IF(SUMPRODUCT(--($B$2:$B$201=1),--(LEFT(Data!$B$2:$B$201,8)=LEFT(Data!B136,8)))&gt;1,1,0))</f>
        <v/>
      </c>
      <c r="H136" s="17" t="str">
        <f aca="false">IF($B136&lt;&gt;1,"",IF(Data!D136="",1,0))</f>
        <v/>
      </c>
      <c r="I136" s="17" t="str">
        <f aca="false">IF($A136="","",IF(AND(Data!J136&lt;&gt;"",ISNUMBER(Data!J136),Data!J136&lt;Settings!$B$2,Data!G136="Active"),1,0))</f>
        <v/>
      </c>
      <c r="J136" s="17" t="str">
        <f aca="false">IF($A136="","",IF($B136&lt;&gt;1,0,(1-N($C136))+(1-N($D136))+(1-N($E136))+N($F136)+N($G136)+N($H136)+N($I136)))</f>
        <v/>
      </c>
    </row>
    <row r="137" customFormat="false" ht="15" hidden="false" customHeight="false" outlineLevel="0" collapsed="false">
      <c r="A137" s="18" t="str">
        <f aca="false">IF(Data!A137="","",Data!A137)</f>
        <v/>
      </c>
      <c r="B137" s="18" t="str">
        <f aca="false">IF($A137="","",IF(Data!G137="Active",1,0))</f>
        <v/>
      </c>
      <c r="C137" s="18" t="str">
        <f aca="false">IF($B137&lt;&gt;1,"",IF(COUNTBLANK(Data!B137:H137)=0,1,0))</f>
        <v/>
      </c>
      <c r="D137" s="18" t="str">
        <f aca="false">IF($B137&lt;&gt;1,"",IF(LEFT(Data!E137,4)="OWN-",1,0))</f>
        <v/>
      </c>
      <c r="E137" s="18" t="str">
        <f aca="false">IF($B137&lt;&gt;1,"",IF(LEFT(Data!F137,4)="OWN-",1,0))</f>
        <v/>
      </c>
      <c r="F137" s="18" t="str">
        <f aca="false">IF($B137&lt;&gt;1,"",IF(OR(Data!I137="",(Settings!$B$2-Data!I137)&gt;Settings!$B$3),1,0))</f>
        <v/>
      </c>
      <c r="G137" s="18" t="str">
        <f aca="false">IF($B137&lt;&gt;1,"",IF(SUMPRODUCT(--($B$2:$B$201=1),--(LEFT(Data!$B$2:$B$201,8)=LEFT(Data!B137,8)))&gt;1,1,0))</f>
        <v/>
      </c>
      <c r="H137" s="18" t="str">
        <f aca="false">IF($B137&lt;&gt;1,"",IF(Data!D137="",1,0))</f>
        <v/>
      </c>
      <c r="I137" s="18" t="str">
        <f aca="false">IF($A137="","",IF(AND(Data!J137&lt;&gt;"",ISNUMBER(Data!J137),Data!J137&lt;Settings!$B$2,Data!G137="Active"),1,0))</f>
        <v/>
      </c>
      <c r="J137" s="18" t="str">
        <f aca="false">IF($A137="","",IF($B137&lt;&gt;1,0,(1-N($C137))+(1-N($D137))+(1-N($E137))+N($F137)+N($G137)+N($H137)+N($I137)))</f>
        <v/>
      </c>
    </row>
    <row r="138" customFormat="false" ht="15" hidden="false" customHeight="false" outlineLevel="0" collapsed="false">
      <c r="A138" s="17" t="str">
        <f aca="false">IF(Data!A138="","",Data!A138)</f>
        <v/>
      </c>
      <c r="B138" s="17" t="str">
        <f aca="false">IF($A138="","",IF(Data!G138="Active",1,0))</f>
        <v/>
      </c>
      <c r="C138" s="17" t="str">
        <f aca="false">IF($B138&lt;&gt;1,"",IF(COUNTBLANK(Data!B138:H138)=0,1,0))</f>
        <v/>
      </c>
      <c r="D138" s="17" t="str">
        <f aca="false">IF($B138&lt;&gt;1,"",IF(LEFT(Data!E138,4)="OWN-",1,0))</f>
        <v/>
      </c>
      <c r="E138" s="17" t="str">
        <f aca="false">IF($B138&lt;&gt;1,"",IF(LEFT(Data!F138,4)="OWN-",1,0))</f>
        <v/>
      </c>
      <c r="F138" s="17" t="str">
        <f aca="false">IF($B138&lt;&gt;1,"",IF(OR(Data!I138="",(Settings!$B$2-Data!I138)&gt;Settings!$B$3),1,0))</f>
        <v/>
      </c>
      <c r="G138" s="17" t="str">
        <f aca="false">IF($B138&lt;&gt;1,"",IF(SUMPRODUCT(--($B$2:$B$201=1),--(LEFT(Data!$B$2:$B$201,8)=LEFT(Data!B138,8)))&gt;1,1,0))</f>
        <v/>
      </c>
      <c r="H138" s="17" t="str">
        <f aca="false">IF($B138&lt;&gt;1,"",IF(Data!D138="",1,0))</f>
        <v/>
      </c>
      <c r="I138" s="17" t="str">
        <f aca="false">IF($A138="","",IF(AND(Data!J138&lt;&gt;"",ISNUMBER(Data!J138),Data!J138&lt;Settings!$B$2,Data!G138="Active"),1,0))</f>
        <v/>
      </c>
      <c r="J138" s="17" t="str">
        <f aca="false">IF($A138="","",IF($B138&lt;&gt;1,0,(1-N($C138))+(1-N($D138))+(1-N($E138))+N($F138)+N($G138)+N($H138)+N($I138)))</f>
        <v/>
      </c>
    </row>
    <row r="139" customFormat="false" ht="15" hidden="false" customHeight="false" outlineLevel="0" collapsed="false">
      <c r="A139" s="18" t="str">
        <f aca="false">IF(Data!A139="","",Data!A139)</f>
        <v/>
      </c>
      <c r="B139" s="18" t="str">
        <f aca="false">IF($A139="","",IF(Data!G139="Active",1,0))</f>
        <v/>
      </c>
      <c r="C139" s="18" t="str">
        <f aca="false">IF($B139&lt;&gt;1,"",IF(COUNTBLANK(Data!B139:H139)=0,1,0))</f>
        <v/>
      </c>
      <c r="D139" s="18" t="str">
        <f aca="false">IF($B139&lt;&gt;1,"",IF(LEFT(Data!E139,4)="OWN-",1,0))</f>
        <v/>
      </c>
      <c r="E139" s="18" t="str">
        <f aca="false">IF($B139&lt;&gt;1,"",IF(LEFT(Data!F139,4)="OWN-",1,0))</f>
        <v/>
      </c>
      <c r="F139" s="18" t="str">
        <f aca="false">IF($B139&lt;&gt;1,"",IF(OR(Data!I139="",(Settings!$B$2-Data!I139)&gt;Settings!$B$3),1,0))</f>
        <v/>
      </c>
      <c r="G139" s="18" t="str">
        <f aca="false">IF($B139&lt;&gt;1,"",IF(SUMPRODUCT(--($B$2:$B$201=1),--(LEFT(Data!$B$2:$B$201,8)=LEFT(Data!B139,8)))&gt;1,1,0))</f>
        <v/>
      </c>
      <c r="H139" s="18" t="str">
        <f aca="false">IF($B139&lt;&gt;1,"",IF(Data!D139="",1,0))</f>
        <v/>
      </c>
      <c r="I139" s="18" t="str">
        <f aca="false">IF($A139="","",IF(AND(Data!J139&lt;&gt;"",ISNUMBER(Data!J139),Data!J139&lt;Settings!$B$2,Data!G139="Active"),1,0))</f>
        <v/>
      </c>
      <c r="J139" s="18" t="str">
        <f aca="false">IF($A139="","",IF($B139&lt;&gt;1,0,(1-N($C139))+(1-N($D139))+(1-N($E139))+N($F139)+N($G139)+N($H139)+N($I139)))</f>
        <v/>
      </c>
    </row>
    <row r="140" customFormat="false" ht="15" hidden="false" customHeight="false" outlineLevel="0" collapsed="false">
      <c r="A140" s="17" t="str">
        <f aca="false">IF(Data!A140="","",Data!A140)</f>
        <v/>
      </c>
      <c r="B140" s="17" t="str">
        <f aca="false">IF($A140="","",IF(Data!G140="Active",1,0))</f>
        <v/>
      </c>
      <c r="C140" s="17" t="str">
        <f aca="false">IF($B140&lt;&gt;1,"",IF(COUNTBLANK(Data!B140:H140)=0,1,0))</f>
        <v/>
      </c>
      <c r="D140" s="17" t="str">
        <f aca="false">IF($B140&lt;&gt;1,"",IF(LEFT(Data!E140,4)="OWN-",1,0))</f>
        <v/>
      </c>
      <c r="E140" s="17" t="str">
        <f aca="false">IF($B140&lt;&gt;1,"",IF(LEFT(Data!F140,4)="OWN-",1,0))</f>
        <v/>
      </c>
      <c r="F140" s="17" t="str">
        <f aca="false">IF($B140&lt;&gt;1,"",IF(OR(Data!I140="",(Settings!$B$2-Data!I140)&gt;Settings!$B$3),1,0))</f>
        <v/>
      </c>
      <c r="G140" s="17" t="str">
        <f aca="false">IF($B140&lt;&gt;1,"",IF(SUMPRODUCT(--($B$2:$B$201=1),--(LEFT(Data!$B$2:$B$201,8)=LEFT(Data!B140,8)))&gt;1,1,0))</f>
        <v/>
      </c>
      <c r="H140" s="17" t="str">
        <f aca="false">IF($B140&lt;&gt;1,"",IF(Data!D140="",1,0))</f>
        <v/>
      </c>
      <c r="I140" s="17" t="str">
        <f aca="false">IF($A140="","",IF(AND(Data!J140&lt;&gt;"",ISNUMBER(Data!J140),Data!J140&lt;Settings!$B$2,Data!G140="Active"),1,0))</f>
        <v/>
      </c>
      <c r="J140" s="17" t="str">
        <f aca="false">IF($A140="","",IF($B140&lt;&gt;1,0,(1-N($C140))+(1-N($D140))+(1-N($E140))+N($F140)+N($G140)+N($H140)+N($I140)))</f>
        <v/>
      </c>
    </row>
    <row r="141" customFormat="false" ht="15" hidden="false" customHeight="false" outlineLevel="0" collapsed="false">
      <c r="A141" s="18" t="str">
        <f aca="false">IF(Data!A141="","",Data!A141)</f>
        <v/>
      </c>
      <c r="B141" s="18" t="str">
        <f aca="false">IF($A141="","",IF(Data!G141="Active",1,0))</f>
        <v/>
      </c>
      <c r="C141" s="18" t="str">
        <f aca="false">IF($B141&lt;&gt;1,"",IF(COUNTBLANK(Data!B141:H141)=0,1,0))</f>
        <v/>
      </c>
      <c r="D141" s="18" t="str">
        <f aca="false">IF($B141&lt;&gt;1,"",IF(LEFT(Data!E141,4)="OWN-",1,0))</f>
        <v/>
      </c>
      <c r="E141" s="18" t="str">
        <f aca="false">IF($B141&lt;&gt;1,"",IF(LEFT(Data!F141,4)="OWN-",1,0))</f>
        <v/>
      </c>
      <c r="F141" s="18" t="str">
        <f aca="false">IF($B141&lt;&gt;1,"",IF(OR(Data!I141="",(Settings!$B$2-Data!I141)&gt;Settings!$B$3),1,0))</f>
        <v/>
      </c>
      <c r="G141" s="18" t="str">
        <f aca="false">IF($B141&lt;&gt;1,"",IF(SUMPRODUCT(--($B$2:$B$201=1),--(LEFT(Data!$B$2:$B$201,8)=LEFT(Data!B141,8)))&gt;1,1,0))</f>
        <v/>
      </c>
      <c r="H141" s="18" t="str">
        <f aca="false">IF($B141&lt;&gt;1,"",IF(Data!D141="",1,0))</f>
        <v/>
      </c>
      <c r="I141" s="18" t="str">
        <f aca="false">IF($A141="","",IF(AND(Data!J141&lt;&gt;"",ISNUMBER(Data!J141),Data!J141&lt;Settings!$B$2,Data!G141="Active"),1,0))</f>
        <v/>
      </c>
      <c r="J141" s="18" t="str">
        <f aca="false">IF($A141="","",IF($B141&lt;&gt;1,0,(1-N($C141))+(1-N($D141))+(1-N($E141))+N($F141)+N($G141)+N($H141)+N($I141)))</f>
        <v/>
      </c>
    </row>
    <row r="142" customFormat="false" ht="15" hidden="false" customHeight="false" outlineLevel="0" collapsed="false">
      <c r="A142" s="17" t="str">
        <f aca="false">IF(Data!A142="","",Data!A142)</f>
        <v/>
      </c>
      <c r="B142" s="17" t="str">
        <f aca="false">IF($A142="","",IF(Data!G142="Active",1,0))</f>
        <v/>
      </c>
      <c r="C142" s="17" t="str">
        <f aca="false">IF($B142&lt;&gt;1,"",IF(COUNTBLANK(Data!B142:H142)=0,1,0))</f>
        <v/>
      </c>
      <c r="D142" s="17" t="str">
        <f aca="false">IF($B142&lt;&gt;1,"",IF(LEFT(Data!E142,4)="OWN-",1,0))</f>
        <v/>
      </c>
      <c r="E142" s="17" t="str">
        <f aca="false">IF($B142&lt;&gt;1,"",IF(LEFT(Data!F142,4)="OWN-",1,0))</f>
        <v/>
      </c>
      <c r="F142" s="17" t="str">
        <f aca="false">IF($B142&lt;&gt;1,"",IF(OR(Data!I142="",(Settings!$B$2-Data!I142)&gt;Settings!$B$3),1,0))</f>
        <v/>
      </c>
      <c r="G142" s="17" t="str">
        <f aca="false">IF($B142&lt;&gt;1,"",IF(SUMPRODUCT(--($B$2:$B$201=1),--(LEFT(Data!$B$2:$B$201,8)=LEFT(Data!B142,8)))&gt;1,1,0))</f>
        <v/>
      </c>
      <c r="H142" s="17" t="str">
        <f aca="false">IF($B142&lt;&gt;1,"",IF(Data!D142="",1,0))</f>
        <v/>
      </c>
      <c r="I142" s="17" t="str">
        <f aca="false">IF($A142="","",IF(AND(Data!J142&lt;&gt;"",ISNUMBER(Data!J142),Data!J142&lt;Settings!$B$2,Data!G142="Active"),1,0))</f>
        <v/>
      </c>
      <c r="J142" s="17" t="str">
        <f aca="false">IF($A142="","",IF($B142&lt;&gt;1,0,(1-N($C142))+(1-N($D142))+(1-N($E142))+N($F142)+N($G142)+N($H142)+N($I142)))</f>
        <v/>
      </c>
    </row>
    <row r="143" customFormat="false" ht="15" hidden="false" customHeight="false" outlineLevel="0" collapsed="false">
      <c r="A143" s="18" t="str">
        <f aca="false">IF(Data!A143="","",Data!A143)</f>
        <v/>
      </c>
      <c r="B143" s="18" t="str">
        <f aca="false">IF($A143="","",IF(Data!G143="Active",1,0))</f>
        <v/>
      </c>
      <c r="C143" s="18" t="str">
        <f aca="false">IF($B143&lt;&gt;1,"",IF(COUNTBLANK(Data!B143:H143)=0,1,0))</f>
        <v/>
      </c>
      <c r="D143" s="18" t="str">
        <f aca="false">IF($B143&lt;&gt;1,"",IF(LEFT(Data!E143,4)="OWN-",1,0))</f>
        <v/>
      </c>
      <c r="E143" s="18" t="str">
        <f aca="false">IF($B143&lt;&gt;1,"",IF(LEFT(Data!F143,4)="OWN-",1,0))</f>
        <v/>
      </c>
      <c r="F143" s="18" t="str">
        <f aca="false">IF($B143&lt;&gt;1,"",IF(OR(Data!I143="",(Settings!$B$2-Data!I143)&gt;Settings!$B$3),1,0))</f>
        <v/>
      </c>
      <c r="G143" s="18" t="str">
        <f aca="false">IF($B143&lt;&gt;1,"",IF(SUMPRODUCT(--($B$2:$B$201=1),--(LEFT(Data!$B$2:$B$201,8)=LEFT(Data!B143,8)))&gt;1,1,0))</f>
        <v/>
      </c>
      <c r="H143" s="18" t="str">
        <f aca="false">IF($B143&lt;&gt;1,"",IF(Data!D143="",1,0))</f>
        <v/>
      </c>
      <c r="I143" s="18" t="str">
        <f aca="false">IF($A143="","",IF(AND(Data!J143&lt;&gt;"",ISNUMBER(Data!J143),Data!J143&lt;Settings!$B$2,Data!G143="Active"),1,0))</f>
        <v/>
      </c>
      <c r="J143" s="18" t="str">
        <f aca="false">IF($A143="","",IF($B143&lt;&gt;1,0,(1-N($C143))+(1-N($D143))+(1-N($E143))+N($F143)+N($G143)+N($H143)+N($I143)))</f>
        <v/>
      </c>
    </row>
    <row r="144" customFormat="false" ht="15" hidden="false" customHeight="false" outlineLevel="0" collapsed="false">
      <c r="A144" s="17" t="str">
        <f aca="false">IF(Data!A144="","",Data!A144)</f>
        <v/>
      </c>
      <c r="B144" s="17" t="str">
        <f aca="false">IF($A144="","",IF(Data!G144="Active",1,0))</f>
        <v/>
      </c>
      <c r="C144" s="17" t="str">
        <f aca="false">IF($B144&lt;&gt;1,"",IF(COUNTBLANK(Data!B144:H144)=0,1,0))</f>
        <v/>
      </c>
      <c r="D144" s="17" t="str">
        <f aca="false">IF($B144&lt;&gt;1,"",IF(LEFT(Data!E144,4)="OWN-",1,0))</f>
        <v/>
      </c>
      <c r="E144" s="17" t="str">
        <f aca="false">IF($B144&lt;&gt;1,"",IF(LEFT(Data!F144,4)="OWN-",1,0))</f>
        <v/>
      </c>
      <c r="F144" s="17" t="str">
        <f aca="false">IF($B144&lt;&gt;1,"",IF(OR(Data!I144="",(Settings!$B$2-Data!I144)&gt;Settings!$B$3),1,0))</f>
        <v/>
      </c>
      <c r="G144" s="17" t="str">
        <f aca="false">IF($B144&lt;&gt;1,"",IF(SUMPRODUCT(--($B$2:$B$201=1),--(LEFT(Data!$B$2:$B$201,8)=LEFT(Data!B144,8)))&gt;1,1,0))</f>
        <v/>
      </c>
      <c r="H144" s="17" t="str">
        <f aca="false">IF($B144&lt;&gt;1,"",IF(Data!D144="",1,0))</f>
        <v/>
      </c>
      <c r="I144" s="17" t="str">
        <f aca="false">IF($A144="","",IF(AND(Data!J144&lt;&gt;"",ISNUMBER(Data!J144),Data!J144&lt;Settings!$B$2,Data!G144="Active"),1,0))</f>
        <v/>
      </c>
      <c r="J144" s="17" t="str">
        <f aca="false">IF($A144="","",IF($B144&lt;&gt;1,0,(1-N($C144))+(1-N($D144))+(1-N($E144))+N($F144)+N($G144)+N($H144)+N($I144)))</f>
        <v/>
      </c>
    </row>
    <row r="145" customFormat="false" ht="15" hidden="false" customHeight="false" outlineLevel="0" collapsed="false">
      <c r="A145" s="18" t="str">
        <f aca="false">IF(Data!A145="","",Data!A145)</f>
        <v/>
      </c>
      <c r="B145" s="18" t="str">
        <f aca="false">IF($A145="","",IF(Data!G145="Active",1,0))</f>
        <v/>
      </c>
      <c r="C145" s="18" t="str">
        <f aca="false">IF($B145&lt;&gt;1,"",IF(COUNTBLANK(Data!B145:H145)=0,1,0))</f>
        <v/>
      </c>
      <c r="D145" s="18" t="str">
        <f aca="false">IF($B145&lt;&gt;1,"",IF(LEFT(Data!E145,4)="OWN-",1,0))</f>
        <v/>
      </c>
      <c r="E145" s="18" t="str">
        <f aca="false">IF($B145&lt;&gt;1,"",IF(LEFT(Data!F145,4)="OWN-",1,0))</f>
        <v/>
      </c>
      <c r="F145" s="18" t="str">
        <f aca="false">IF($B145&lt;&gt;1,"",IF(OR(Data!I145="",(Settings!$B$2-Data!I145)&gt;Settings!$B$3),1,0))</f>
        <v/>
      </c>
      <c r="G145" s="18" t="str">
        <f aca="false">IF($B145&lt;&gt;1,"",IF(SUMPRODUCT(--($B$2:$B$201=1),--(LEFT(Data!$B$2:$B$201,8)=LEFT(Data!B145,8)))&gt;1,1,0))</f>
        <v/>
      </c>
      <c r="H145" s="18" t="str">
        <f aca="false">IF($B145&lt;&gt;1,"",IF(Data!D145="",1,0))</f>
        <v/>
      </c>
      <c r="I145" s="18" t="str">
        <f aca="false">IF($A145="","",IF(AND(Data!J145&lt;&gt;"",ISNUMBER(Data!J145),Data!J145&lt;Settings!$B$2,Data!G145="Active"),1,0))</f>
        <v/>
      </c>
      <c r="J145" s="18" t="str">
        <f aca="false">IF($A145="","",IF($B145&lt;&gt;1,0,(1-N($C145))+(1-N($D145))+(1-N($E145))+N($F145)+N($G145)+N($H145)+N($I145)))</f>
        <v/>
      </c>
    </row>
    <row r="146" customFormat="false" ht="15" hidden="false" customHeight="false" outlineLevel="0" collapsed="false">
      <c r="A146" s="17" t="str">
        <f aca="false">IF(Data!A146="","",Data!A146)</f>
        <v/>
      </c>
      <c r="B146" s="17" t="str">
        <f aca="false">IF($A146="","",IF(Data!G146="Active",1,0))</f>
        <v/>
      </c>
      <c r="C146" s="17" t="str">
        <f aca="false">IF($B146&lt;&gt;1,"",IF(COUNTBLANK(Data!B146:H146)=0,1,0))</f>
        <v/>
      </c>
      <c r="D146" s="17" t="str">
        <f aca="false">IF($B146&lt;&gt;1,"",IF(LEFT(Data!E146,4)="OWN-",1,0))</f>
        <v/>
      </c>
      <c r="E146" s="17" t="str">
        <f aca="false">IF($B146&lt;&gt;1,"",IF(LEFT(Data!F146,4)="OWN-",1,0))</f>
        <v/>
      </c>
      <c r="F146" s="17" t="str">
        <f aca="false">IF($B146&lt;&gt;1,"",IF(OR(Data!I146="",(Settings!$B$2-Data!I146)&gt;Settings!$B$3),1,0))</f>
        <v/>
      </c>
      <c r="G146" s="17" t="str">
        <f aca="false">IF($B146&lt;&gt;1,"",IF(SUMPRODUCT(--($B$2:$B$201=1),--(LEFT(Data!$B$2:$B$201,8)=LEFT(Data!B146,8)))&gt;1,1,0))</f>
        <v/>
      </c>
      <c r="H146" s="17" t="str">
        <f aca="false">IF($B146&lt;&gt;1,"",IF(Data!D146="",1,0))</f>
        <v/>
      </c>
      <c r="I146" s="17" t="str">
        <f aca="false">IF($A146="","",IF(AND(Data!J146&lt;&gt;"",ISNUMBER(Data!J146),Data!J146&lt;Settings!$B$2,Data!G146="Active"),1,0))</f>
        <v/>
      </c>
      <c r="J146" s="17" t="str">
        <f aca="false">IF($A146="","",IF($B146&lt;&gt;1,0,(1-N($C146))+(1-N($D146))+(1-N($E146))+N($F146)+N($G146)+N($H146)+N($I146)))</f>
        <v/>
      </c>
    </row>
    <row r="147" customFormat="false" ht="15" hidden="false" customHeight="false" outlineLevel="0" collapsed="false">
      <c r="A147" s="18" t="str">
        <f aca="false">IF(Data!A147="","",Data!A147)</f>
        <v/>
      </c>
      <c r="B147" s="18" t="str">
        <f aca="false">IF($A147="","",IF(Data!G147="Active",1,0))</f>
        <v/>
      </c>
      <c r="C147" s="18" t="str">
        <f aca="false">IF($B147&lt;&gt;1,"",IF(COUNTBLANK(Data!B147:H147)=0,1,0))</f>
        <v/>
      </c>
      <c r="D147" s="18" t="str">
        <f aca="false">IF($B147&lt;&gt;1,"",IF(LEFT(Data!E147,4)="OWN-",1,0))</f>
        <v/>
      </c>
      <c r="E147" s="18" t="str">
        <f aca="false">IF($B147&lt;&gt;1,"",IF(LEFT(Data!F147,4)="OWN-",1,0))</f>
        <v/>
      </c>
      <c r="F147" s="18" t="str">
        <f aca="false">IF($B147&lt;&gt;1,"",IF(OR(Data!I147="",(Settings!$B$2-Data!I147)&gt;Settings!$B$3),1,0))</f>
        <v/>
      </c>
      <c r="G147" s="18" t="str">
        <f aca="false">IF($B147&lt;&gt;1,"",IF(SUMPRODUCT(--($B$2:$B$201=1),--(LEFT(Data!$B$2:$B$201,8)=LEFT(Data!B147,8)))&gt;1,1,0))</f>
        <v/>
      </c>
      <c r="H147" s="18" t="str">
        <f aca="false">IF($B147&lt;&gt;1,"",IF(Data!D147="",1,0))</f>
        <v/>
      </c>
      <c r="I147" s="18" t="str">
        <f aca="false">IF($A147="","",IF(AND(Data!J147&lt;&gt;"",ISNUMBER(Data!J147),Data!J147&lt;Settings!$B$2,Data!G147="Active"),1,0))</f>
        <v/>
      </c>
      <c r="J147" s="18" t="str">
        <f aca="false">IF($A147="","",IF($B147&lt;&gt;1,0,(1-N($C147))+(1-N($D147))+(1-N($E147))+N($F147)+N($G147)+N($H147)+N($I147)))</f>
        <v/>
      </c>
    </row>
    <row r="148" customFormat="false" ht="15" hidden="false" customHeight="false" outlineLevel="0" collapsed="false">
      <c r="A148" s="17" t="str">
        <f aca="false">IF(Data!A148="","",Data!A148)</f>
        <v/>
      </c>
      <c r="B148" s="17" t="str">
        <f aca="false">IF($A148="","",IF(Data!G148="Active",1,0))</f>
        <v/>
      </c>
      <c r="C148" s="17" t="str">
        <f aca="false">IF($B148&lt;&gt;1,"",IF(COUNTBLANK(Data!B148:H148)=0,1,0))</f>
        <v/>
      </c>
      <c r="D148" s="17" t="str">
        <f aca="false">IF($B148&lt;&gt;1,"",IF(LEFT(Data!E148,4)="OWN-",1,0))</f>
        <v/>
      </c>
      <c r="E148" s="17" t="str">
        <f aca="false">IF($B148&lt;&gt;1,"",IF(LEFT(Data!F148,4)="OWN-",1,0))</f>
        <v/>
      </c>
      <c r="F148" s="17" t="str">
        <f aca="false">IF($B148&lt;&gt;1,"",IF(OR(Data!I148="",(Settings!$B$2-Data!I148)&gt;Settings!$B$3),1,0))</f>
        <v/>
      </c>
      <c r="G148" s="17" t="str">
        <f aca="false">IF($B148&lt;&gt;1,"",IF(SUMPRODUCT(--($B$2:$B$201=1),--(LEFT(Data!$B$2:$B$201,8)=LEFT(Data!B148,8)))&gt;1,1,0))</f>
        <v/>
      </c>
      <c r="H148" s="17" t="str">
        <f aca="false">IF($B148&lt;&gt;1,"",IF(Data!D148="",1,0))</f>
        <v/>
      </c>
      <c r="I148" s="17" t="str">
        <f aca="false">IF($A148="","",IF(AND(Data!J148&lt;&gt;"",ISNUMBER(Data!J148),Data!J148&lt;Settings!$B$2,Data!G148="Active"),1,0))</f>
        <v/>
      </c>
      <c r="J148" s="17" t="str">
        <f aca="false">IF($A148="","",IF($B148&lt;&gt;1,0,(1-N($C148))+(1-N($D148))+(1-N($E148))+N($F148)+N($G148)+N($H148)+N($I148)))</f>
        <v/>
      </c>
    </row>
    <row r="149" customFormat="false" ht="15" hidden="false" customHeight="false" outlineLevel="0" collapsed="false">
      <c r="A149" s="18" t="str">
        <f aca="false">IF(Data!A149="","",Data!A149)</f>
        <v/>
      </c>
      <c r="B149" s="18" t="str">
        <f aca="false">IF($A149="","",IF(Data!G149="Active",1,0))</f>
        <v/>
      </c>
      <c r="C149" s="18" t="str">
        <f aca="false">IF($B149&lt;&gt;1,"",IF(COUNTBLANK(Data!B149:H149)=0,1,0))</f>
        <v/>
      </c>
      <c r="D149" s="18" t="str">
        <f aca="false">IF($B149&lt;&gt;1,"",IF(LEFT(Data!E149,4)="OWN-",1,0))</f>
        <v/>
      </c>
      <c r="E149" s="18" t="str">
        <f aca="false">IF($B149&lt;&gt;1,"",IF(LEFT(Data!F149,4)="OWN-",1,0))</f>
        <v/>
      </c>
      <c r="F149" s="18" t="str">
        <f aca="false">IF($B149&lt;&gt;1,"",IF(OR(Data!I149="",(Settings!$B$2-Data!I149)&gt;Settings!$B$3),1,0))</f>
        <v/>
      </c>
      <c r="G149" s="18" t="str">
        <f aca="false">IF($B149&lt;&gt;1,"",IF(SUMPRODUCT(--($B$2:$B$201=1),--(LEFT(Data!$B$2:$B$201,8)=LEFT(Data!B149,8)))&gt;1,1,0))</f>
        <v/>
      </c>
      <c r="H149" s="18" t="str">
        <f aca="false">IF($B149&lt;&gt;1,"",IF(Data!D149="",1,0))</f>
        <v/>
      </c>
      <c r="I149" s="18" t="str">
        <f aca="false">IF($A149="","",IF(AND(Data!J149&lt;&gt;"",ISNUMBER(Data!J149),Data!J149&lt;Settings!$B$2,Data!G149="Active"),1,0))</f>
        <v/>
      </c>
      <c r="J149" s="18" t="str">
        <f aca="false">IF($A149="","",IF($B149&lt;&gt;1,0,(1-N($C149))+(1-N($D149))+(1-N($E149))+N($F149)+N($G149)+N($H149)+N($I149)))</f>
        <v/>
      </c>
    </row>
    <row r="150" customFormat="false" ht="15" hidden="false" customHeight="false" outlineLevel="0" collapsed="false">
      <c r="A150" s="17" t="str">
        <f aca="false">IF(Data!A150="","",Data!A150)</f>
        <v/>
      </c>
      <c r="B150" s="17" t="str">
        <f aca="false">IF($A150="","",IF(Data!G150="Active",1,0))</f>
        <v/>
      </c>
      <c r="C150" s="17" t="str">
        <f aca="false">IF($B150&lt;&gt;1,"",IF(COUNTBLANK(Data!B150:H150)=0,1,0))</f>
        <v/>
      </c>
      <c r="D150" s="17" t="str">
        <f aca="false">IF($B150&lt;&gt;1,"",IF(LEFT(Data!E150,4)="OWN-",1,0))</f>
        <v/>
      </c>
      <c r="E150" s="17" t="str">
        <f aca="false">IF($B150&lt;&gt;1,"",IF(LEFT(Data!F150,4)="OWN-",1,0))</f>
        <v/>
      </c>
      <c r="F150" s="17" t="str">
        <f aca="false">IF($B150&lt;&gt;1,"",IF(OR(Data!I150="",(Settings!$B$2-Data!I150)&gt;Settings!$B$3),1,0))</f>
        <v/>
      </c>
      <c r="G150" s="17" t="str">
        <f aca="false">IF($B150&lt;&gt;1,"",IF(SUMPRODUCT(--($B$2:$B$201=1),--(LEFT(Data!$B$2:$B$201,8)=LEFT(Data!B150,8)))&gt;1,1,0))</f>
        <v/>
      </c>
      <c r="H150" s="17" t="str">
        <f aca="false">IF($B150&lt;&gt;1,"",IF(Data!D150="",1,0))</f>
        <v/>
      </c>
      <c r="I150" s="17" t="str">
        <f aca="false">IF($A150="","",IF(AND(Data!J150&lt;&gt;"",ISNUMBER(Data!J150),Data!J150&lt;Settings!$B$2,Data!G150="Active"),1,0))</f>
        <v/>
      </c>
      <c r="J150" s="17" t="str">
        <f aca="false">IF($A150="","",IF($B150&lt;&gt;1,0,(1-N($C150))+(1-N($D150))+(1-N($E150))+N($F150)+N($G150)+N($H150)+N($I150)))</f>
        <v/>
      </c>
    </row>
    <row r="151" customFormat="false" ht="15" hidden="false" customHeight="false" outlineLevel="0" collapsed="false">
      <c r="A151" s="18" t="str">
        <f aca="false">IF(Data!A151="","",Data!A151)</f>
        <v/>
      </c>
      <c r="B151" s="18" t="str">
        <f aca="false">IF($A151="","",IF(Data!G151="Active",1,0))</f>
        <v/>
      </c>
      <c r="C151" s="18" t="str">
        <f aca="false">IF($B151&lt;&gt;1,"",IF(COUNTBLANK(Data!B151:H151)=0,1,0))</f>
        <v/>
      </c>
      <c r="D151" s="18" t="str">
        <f aca="false">IF($B151&lt;&gt;1,"",IF(LEFT(Data!E151,4)="OWN-",1,0))</f>
        <v/>
      </c>
      <c r="E151" s="18" t="str">
        <f aca="false">IF($B151&lt;&gt;1,"",IF(LEFT(Data!F151,4)="OWN-",1,0))</f>
        <v/>
      </c>
      <c r="F151" s="18" t="str">
        <f aca="false">IF($B151&lt;&gt;1,"",IF(OR(Data!I151="",(Settings!$B$2-Data!I151)&gt;Settings!$B$3),1,0))</f>
        <v/>
      </c>
      <c r="G151" s="18" t="str">
        <f aca="false">IF($B151&lt;&gt;1,"",IF(SUMPRODUCT(--($B$2:$B$201=1),--(LEFT(Data!$B$2:$B$201,8)=LEFT(Data!B151,8)))&gt;1,1,0))</f>
        <v/>
      </c>
      <c r="H151" s="18" t="str">
        <f aca="false">IF($B151&lt;&gt;1,"",IF(Data!D151="",1,0))</f>
        <v/>
      </c>
      <c r="I151" s="18" t="str">
        <f aca="false">IF($A151="","",IF(AND(Data!J151&lt;&gt;"",ISNUMBER(Data!J151),Data!J151&lt;Settings!$B$2,Data!G151="Active"),1,0))</f>
        <v/>
      </c>
      <c r="J151" s="18" t="str">
        <f aca="false">IF($A151="","",IF($B151&lt;&gt;1,0,(1-N($C151))+(1-N($D151))+(1-N($E151))+N($F151)+N($G151)+N($H151)+N($I151)))</f>
        <v/>
      </c>
    </row>
    <row r="152" customFormat="false" ht="15" hidden="false" customHeight="false" outlineLevel="0" collapsed="false">
      <c r="A152" s="17" t="str">
        <f aca="false">IF(Data!A152="","",Data!A152)</f>
        <v/>
      </c>
      <c r="B152" s="17" t="str">
        <f aca="false">IF($A152="","",IF(Data!G152="Active",1,0))</f>
        <v/>
      </c>
      <c r="C152" s="17" t="str">
        <f aca="false">IF($B152&lt;&gt;1,"",IF(COUNTBLANK(Data!B152:H152)=0,1,0))</f>
        <v/>
      </c>
      <c r="D152" s="17" t="str">
        <f aca="false">IF($B152&lt;&gt;1,"",IF(LEFT(Data!E152,4)="OWN-",1,0))</f>
        <v/>
      </c>
      <c r="E152" s="17" t="str">
        <f aca="false">IF($B152&lt;&gt;1,"",IF(LEFT(Data!F152,4)="OWN-",1,0))</f>
        <v/>
      </c>
      <c r="F152" s="17" t="str">
        <f aca="false">IF($B152&lt;&gt;1,"",IF(OR(Data!I152="",(Settings!$B$2-Data!I152)&gt;Settings!$B$3),1,0))</f>
        <v/>
      </c>
      <c r="G152" s="17" t="str">
        <f aca="false">IF($B152&lt;&gt;1,"",IF(SUMPRODUCT(--($B$2:$B$201=1),--(LEFT(Data!$B$2:$B$201,8)=LEFT(Data!B152,8)))&gt;1,1,0))</f>
        <v/>
      </c>
      <c r="H152" s="17" t="str">
        <f aca="false">IF($B152&lt;&gt;1,"",IF(Data!D152="",1,0))</f>
        <v/>
      </c>
      <c r="I152" s="17" t="str">
        <f aca="false">IF($A152="","",IF(AND(Data!J152&lt;&gt;"",ISNUMBER(Data!J152),Data!J152&lt;Settings!$B$2,Data!G152="Active"),1,0))</f>
        <v/>
      </c>
      <c r="J152" s="17" t="str">
        <f aca="false">IF($A152="","",IF($B152&lt;&gt;1,0,(1-N($C152))+(1-N($D152))+(1-N($E152))+N($F152)+N($G152)+N($H152)+N($I152)))</f>
        <v/>
      </c>
    </row>
    <row r="153" customFormat="false" ht="15" hidden="false" customHeight="false" outlineLevel="0" collapsed="false">
      <c r="A153" s="18" t="str">
        <f aca="false">IF(Data!A153="","",Data!A153)</f>
        <v/>
      </c>
      <c r="B153" s="18" t="str">
        <f aca="false">IF($A153="","",IF(Data!G153="Active",1,0))</f>
        <v/>
      </c>
      <c r="C153" s="18" t="str">
        <f aca="false">IF($B153&lt;&gt;1,"",IF(COUNTBLANK(Data!B153:H153)=0,1,0))</f>
        <v/>
      </c>
      <c r="D153" s="18" t="str">
        <f aca="false">IF($B153&lt;&gt;1,"",IF(LEFT(Data!E153,4)="OWN-",1,0))</f>
        <v/>
      </c>
      <c r="E153" s="18" t="str">
        <f aca="false">IF($B153&lt;&gt;1,"",IF(LEFT(Data!F153,4)="OWN-",1,0))</f>
        <v/>
      </c>
      <c r="F153" s="18" t="str">
        <f aca="false">IF($B153&lt;&gt;1,"",IF(OR(Data!I153="",(Settings!$B$2-Data!I153)&gt;Settings!$B$3),1,0))</f>
        <v/>
      </c>
      <c r="G153" s="18" t="str">
        <f aca="false">IF($B153&lt;&gt;1,"",IF(SUMPRODUCT(--($B$2:$B$201=1),--(LEFT(Data!$B$2:$B$201,8)=LEFT(Data!B153,8)))&gt;1,1,0))</f>
        <v/>
      </c>
      <c r="H153" s="18" t="str">
        <f aca="false">IF($B153&lt;&gt;1,"",IF(Data!D153="",1,0))</f>
        <v/>
      </c>
      <c r="I153" s="18" t="str">
        <f aca="false">IF($A153="","",IF(AND(Data!J153&lt;&gt;"",ISNUMBER(Data!J153),Data!J153&lt;Settings!$B$2,Data!G153="Active"),1,0))</f>
        <v/>
      </c>
      <c r="J153" s="18" t="str">
        <f aca="false">IF($A153="","",IF($B153&lt;&gt;1,0,(1-N($C153))+(1-N($D153))+(1-N($E153))+N($F153)+N($G153)+N($H153)+N($I153)))</f>
        <v/>
      </c>
    </row>
    <row r="154" customFormat="false" ht="15" hidden="false" customHeight="false" outlineLevel="0" collapsed="false">
      <c r="A154" s="17" t="str">
        <f aca="false">IF(Data!A154="","",Data!A154)</f>
        <v/>
      </c>
      <c r="B154" s="17" t="str">
        <f aca="false">IF($A154="","",IF(Data!G154="Active",1,0))</f>
        <v/>
      </c>
      <c r="C154" s="17" t="str">
        <f aca="false">IF($B154&lt;&gt;1,"",IF(COUNTBLANK(Data!B154:H154)=0,1,0))</f>
        <v/>
      </c>
      <c r="D154" s="17" t="str">
        <f aca="false">IF($B154&lt;&gt;1,"",IF(LEFT(Data!E154,4)="OWN-",1,0))</f>
        <v/>
      </c>
      <c r="E154" s="17" t="str">
        <f aca="false">IF($B154&lt;&gt;1,"",IF(LEFT(Data!F154,4)="OWN-",1,0))</f>
        <v/>
      </c>
      <c r="F154" s="17" t="str">
        <f aca="false">IF($B154&lt;&gt;1,"",IF(OR(Data!I154="",(Settings!$B$2-Data!I154)&gt;Settings!$B$3),1,0))</f>
        <v/>
      </c>
      <c r="G154" s="17" t="str">
        <f aca="false">IF($B154&lt;&gt;1,"",IF(SUMPRODUCT(--($B$2:$B$201=1),--(LEFT(Data!$B$2:$B$201,8)=LEFT(Data!B154,8)))&gt;1,1,0))</f>
        <v/>
      </c>
      <c r="H154" s="17" t="str">
        <f aca="false">IF($B154&lt;&gt;1,"",IF(Data!D154="",1,0))</f>
        <v/>
      </c>
      <c r="I154" s="17" t="str">
        <f aca="false">IF($A154="","",IF(AND(Data!J154&lt;&gt;"",ISNUMBER(Data!J154),Data!J154&lt;Settings!$B$2,Data!G154="Active"),1,0))</f>
        <v/>
      </c>
      <c r="J154" s="17" t="str">
        <f aca="false">IF($A154="","",IF($B154&lt;&gt;1,0,(1-N($C154))+(1-N($D154))+(1-N($E154))+N($F154)+N($G154)+N($H154)+N($I154)))</f>
        <v/>
      </c>
    </row>
    <row r="155" customFormat="false" ht="15" hidden="false" customHeight="false" outlineLevel="0" collapsed="false">
      <c r="A155" s="18" t="str">
        <f aca="false">IF(Data!A155="","",Data!A155)</f>
        <v/>
      </c>
      <c r="B155" s="18" t="str">
        <f aca="false">IF($A155="","",IF(Data!G155="Active",1,0))</f>
        <v/>
      </c>
      <c r="C155" s="18" t="str">
        <f aca="false">IF($B155&lt;&gt;1,"",IF(COUNTBLANK(Data!B155:H155)=0,1,0))</f>
        <v/>
      </c>
      <c r="D155" s="18" t="str">
        <f aca="false">IF($B155&lt;&gt;1,"",IF(LEFT(Data!E155,4)="OWN-",1,0))</f>
        <v/>
      </c>
      <c r="E155" s="18" t="str">
        <f aca="false">IF($B155&lt;&gt;1,"",IF(LEFT(Data!F155,4)="OWN-",1,0))</f>
        <v/>
      </c>
      <c r="F155" s="18" t="str">
        <f aca="false">IF($B155&lt;&gt;1,"",IF(OR(Data!I155="",(Settings!$B$2-Data!I155)&gt;Settings!$B$3),1,0))</f>
        <v/>
      </c>
      <c r="G155" s="18" t="str">
        <f aca="false">IF($B155&lt;&gt;1,"",IF(SUMPRODUCT(--($B$2:$B$201=1),--(LEFT(Data!$B$2:$B$201,8)=LEFT(Data!B155,8)))&gt;1,1,0))</f>
        <v/>
      </c>
      <c r="H155" s="18" t="str">
        <f aca="false">IF($B155&lt;&gt;1,"",IF(Data!D155="",1,0))</f>
        <v/>
      </c>
      <c r="I155" s="18" t="str">
        <f aca="false">IF($A155="","",IF(AND(Data!J155&lt;&gt;"",ISNUMBER(Data!J155),Data!J155&lt;Settings!$B$2,Data!G155="Active"),1,0))</f>
        <v/>
      </c>
      <c r="J155" s="18" t="str">
        <f aca="false">IF($A155="","",IF($B155&lt;&gt;1,0,(1-N($C155))+(1-N($D155))+(1-N($E155))+N($F155)+N($G155)+N($H155)+N($I155)))</f>
        <v/>
      </c>
    </row>
    <row r="156" customFormat="false" ht="15" hidden="false" customHeight="false" outlineLevel="0" collapsed="false">
      <c r="A156" s="17" t="str">
        <f aca="false">IF(Data!A156="","",Data!A156)</f>
        <v/>
      </c>
      <c r="B156" s="17" t="str">
        <f aca="false">IF($A156="","",IF(Data!G156="Active",1,0))</f>
        <v/>
      </c>
      <c r="C156" s="17" t="str">
        <f aca="false">IF($B156&lt;&gt;1,"",IF(COUNTBLANK(Data!B156:H156)=0,1,0))</f>
        <v/>
      </c>
      <c r="D156" s="17" t="str">
        <f aca="false">IF($B156&lt;&gt;1,"",IF(LEFT(Data!E156,4)="OWN-",1,0))</f>
        <v/>
      </c>
      <c r="E156" s="17" t="str">
        <f aca="false">IF($B156&lt;&gt;1,"",IF(LEFT(Data!F156,4)="OWN-",1,0))</f>
        <v/>
      </c>
      <c r="F156" s="17" t="str">
        <f aca="false">IF($B156&lt;&gt;1,"",IF(OR(Data!I156="",(Settings!$B$2-Data!I156)&gt;Settings!$B$3),1,0))</f>
        <v/>
      </c>
      <c r="G156" s="17" t="str">
        <f aca="false">IF($B156&lt;&gt;1,"",IF(SUMPRODUCT(--($B$2:$B$201=1),--(LEFT(Data!$B$2:$B$201,8)=LEFT(Data!B156,8)))&gt;1,1,0))</f>
        <v/>
      </c>
      <c r="H156" s="17" t="str">
        <f aca="false">IF($B156&lt;&gt;1,"",IF(Data!D156="",1,0))</f>
        <v/>
      </c>
      <c r="I156" s="17" t="str">
        <f aca="false">IF($A156="","",IF(AND(Data!J156&lt;&gt;"",ISNUMBER(Data!J156),Data!J156&lt;Settings!$B$2,Data!G156="Active"),1,0))</f>
        <v/>
      </c>
      <c r="J156" s="17" t="str">
        <f aca="false">IF($A156="","",IF($B156&lt;&gt;1,0,(1-N($C156))+(1-N($D156))+(1-N($E156))+N($F156)+N($G156)+N($H156)+N($I156)))</f>
        <v/>
      </c>
    </row>
    <row r="157" customFormat="false" ht="15" hidden="false" customHeight="false" outlineLevel="0" collapsed="false">
      <c r="A157" s="18" t="str">
        <f aca="false">IF(Data!A157="","",Data!A157)</f>
        <v/>
      </c>
      <c r="B157" s="18" t="str">
        <f aca="false">IF($A157="","",IF(Data!G157="Active",1,0))</f>
        <v/>
      </c>
      <c r="C157" s="18" t="str">
        <f aca="false">IF($B157&lt;&gt;1,"",IF(COUNTBLANK(Data!B157:H157)=0,1,0))</f>
        <v/>
      </c>
      <c r="D157" s="18" t="str">
        <f aca="false">IF($B157&lt;&gt;1,"",IF(LEFT(Data!E157,4)="OWN-",1,0))</f>
        <v/>
      </c>
      <c r="E157" s="18" t="str">
        <f aca="false">IF($B157&lt;&gt;1,"",IF(LEFT(Data!F157,4)="OWN-",1,0))</f>
        <v/>
      </c>
      <c r="F157" s="18" t="str">
        <f aca="false">IF($B157&lt;&gt;1,"",IF(OR(Data!I157="",(Settings!$B$2-Data!I157)&gt;Settings!$B$3),1,0))</f>
        <v/>
      </c>
      <c r="G157" s="18" t="str">
        <f aca="false">IF($B157&lt;&gt;1,"",IF(SUMPRODUCT(--($B$2:$B$201=1),--(LEFT(Data!$B$2:$B$201,8)=LEFT(Data!B157,8)))&gt;1,1,0))</f>
        <v/>
      </c>
      <c r="H157" s="18" t="str">
        <f aca="false">IF($B157&lt;&gt;1,"",IF(Data!D157="",1,0))</f>
        <v/>
      </c>
      <c r="I157" s="18" t="str">
        <f aca="false">IF($A157="","",IF(AND(Data!J157&lt;&gt;"",ISNUMBER(Data!J157),Data!J157&lt;Settings!$B$2,Data!G157="Active"),1,0))</f>
        <v/>
      </c>
      <c r="J157" s="18" t="str">
        <f aca="false">IF($A157="","",IF($B157&lt;&gt;1,0,(1-N($C157))+(1-N($D157))+(1-N($E157))+N($F157)+N($G157)+N($H157)+N($I157)))</f>
        <v/>
      </c>
    </row>
    <row r="158" customFormat="false" ht="15" hidden="false" customHeight="false" outlineLevel="0" collapsed="false">
      <c r="A158" s="17" t="str">
        <f aca="false">IF(Data!A158="","",Data!A158)</f>
        <v/>
      </c>
      <c r="B158" s="17" t="str">
        <f aca="false">IF($A158="","",IF(Data!G158="Active",1,0))</f>
        <v/>
      </c>
      <c r="C158" s="17" t="str">
        <f aca="false">IF($B158&lt;&gt;1,"",IF(COUNTBLANK(Data!B158:H158)=0,1,0))</f>
        <v/>
      </c>
      <c r="D158" s="17" t="str">
        <f aca="false">IF($B158&lt;&gt;1,"",IF(LEFT(Data!E158,4)="OWN-",1,0))</f>
        <v/>
      </c>
      <c r="E158" s="17" t="str">
        <f aca="false">IF($B158&lt;&gt;1,"",IF(LEFT(Data!F158,4)="OWN-",1,0))</f>
        <v/>
      </c>
      <c r="F158" s="17" t="str">
        <f aca="false">IF($B158&lt;&gt;1,"",IF(OR(Data!I158="",(Settings!$B$2-Data!I158)&gt;Settings!$B$3),1,0))</f>
        <v/>
      </c>
      <c r="G158" s="17" t="str">
        <f aca="false">IF($B158&lt;&gt;1,"",IF(SUMPRODUCT(--($B$2:$B$201=1),--(LEFT(Data!$B$2:$B$201,8)=LEFT(Data!B158,8)))&gt;1,1,0))</f>
        <v/>
      </c>
      <c r="H158" s="17" t="str">
        <f aca="false">IF($B158&lt;&gt;1,"",IF(Data!D158="",1,0))</f>
        <v/>
      </c>
      <c r="I158" s="17" t="str">
        <f aca="false">IF($A158="","",IF(AND(Data!J158&lt;&gt;"",ISNUMBER(Data!J158),Data!J158&lt;Settings!$B$2,Data!G158="Active"),1,0))</f>
        <v/>
      </c>
      <c r="J158" s="17" t="str">
        <f aca="false">IF($A158="","",IF($B158&lt;&gt;1,0,(1-N($C158))+(1-N($D158))+(1-N($E158))+N($F158)+N($G158)+N($H158)+N($I158)))</f>
        <v/>
      </c>
    </row>
    <row r="159" customFormat="false" ht="15" hidden="false" customHeight="false" outlineLevel="0" collapsed="false">
      <c r="A159" s="18" t="str">
        <f aca="false">IF(Data!A159="","",Data!A159)</f>
        <v/>
      </c>
      <c r="B159" s="18" t="str">
        <f aca="false">IF($A159="","",IF(Data!G159="Active",1,0))</f>
        <v/>
      </c>
      <c r="C159" s="18" t="str">
        <f aca="false">IF($B159&lt;&gt;1,"",IF(COUNTBLANK(Data!B159:H159)=0,1,0))</f>
        <v/>
      </c>
      <c r="D159" s="18" t="str">
        <f aca="false">IF($B159&lt;&gt;1,"",IF(LEFT(Data!E159,4)="OWN-",1,0))</f>
        <v/>
      </c>
      <c r="E159" s="18" t="str">
        <f aca="false">IF($B159&lt;&gt;1,"",IF(LEFT(Data!F159,4)="OWN-",1,0))</f>
        <v/>
      </c>
      <c r="F159" s="18" t="str">
        <f aca="false">IF($B159&lt;&gt;1,"",IF(OR(Data!I159="",(Settings!$B$2-Data!I159)&gt;Settings!$B$3),1,0))</f>
        <v/>
      </c>
      <c r="G159" s="18" t="str">
        <f aca="false">IF($B159&lt;&gt;1,"",IF(SUMPRODUCT(--($B$2:$B$201=1),--(LEFT(Data!$B$2:$B$201,8)=LEFT(Data!B159,8)))&gt;1,1,0))</f>
        <v/>
      </c>
      <c r="H159" s="18" t="str">
        <f aca="false">IF($B159&lt;&gt;1,"",IF(Data!D159="",1,0))</f>
        <v/>
      </c>
      <c r="I159" s="18" t="str">
        <f aca="false">IF($A159="","",IF(AND(Data!J159&lt;&gt;"",ISNUMBER(Data!J159),Data!J159&lt;Settings!$B$2,Data!G159="Active"),1,0))</f>
        <v/>
      </c>
      <c r="J159" s="18" t="str">
        <f aca="false">IF($A159="","",IF($B159&lt;&gt;1,0,(1-N($C159))+(1-N($D159))+(1-N($E159))+N($F159)+N($G159)+N($H159)+N($I159)))</f>
        <v/>
      </c>
    </row>
    <row r="160" customFormat="false" ht="15" hidden="false" customHeight="false" outlineLevel="0" collapsed="false">
      <c r="A160" s="17" t="str">
        <f aca="false">IF(Data!A160="","",Data!A160)</f>
        <v/>
      </c>
      <c r="B160" s="17" t="str">
        <f aca="false">IF($A160="","",IF(Data!G160="Active",1,0))</f>
        <v/>
      </c>
      <c r="C160" s="17" t="str">
        <f aca="false">IF($B160&lt;&gt;1,"",IF(COUNTBLANK(Data!B160:H160)=0,1,0))</f>
        <v/>
      </c>
      <c r="D160" s="17" t="str">
        <f aca="false">IF($B160&lt;&gt;1,"",IF(LEFT(Data!E160,4)="OWN-",1,0))</f>
        <v/>
      </c>
      <c r="E160" s="17" t="str">
        <f aca="false">IF($B160&lt;&gt;1,"",IF(LEFT(Data!F160,4)="OWN-",1,0))</f>
        <v/>
      </c>
      <c r="F160" s="17" t="str">
        <f aca="false">IF($B160&lt;&gt;1,"",IF(OR(Data!I160="",(Settings!$B$2-Data!I160)&gt;Settings!$B$3),1,0))</f>
        <v/>
      </c>
      <c r="G160" s="17" t="str">
        <f aca="false">IF($B160&lt;&gt;1,"",IF(SUMPRODUCT(--($B$2:$B$201=1),--(LEFT(Data!$B$2:$B$201,8)=LEFT(Data!B160,8)))&gt;1,1,0))</f>
        <v/>
      </c>
      <c r="H160" s="17" t="str">
        <f aca="false">IF($B160&lt;&gt;1,"",IF(Data!D160="",1,0))</f>
        <v/>
      </c>
      <c r="I160" s="17" t="str">
        <f aca="false">IF($A160="","",IF(AND(Data!J160&lt;&gt;"",ISNUMBER(Data!J160),Data!J160&lt;Settings!$B$2,Data!G160="Active"),1,0))</f>
        <v/>
      </c>
      <c r="J160" s="17" t="str">
        <f aca="false">IF($A160="","",IF($B160&lt;&gt;1,0,(1-N($C160))+(1-N($D160))+(1-N($E160))+N($F160)+N($G160)+N($H160)+N($I160)))</f>
        <v/>
      </c>
    </row>
    <row r="161" customFormat="false" ht="15" hidden="false" customHeight="false" outlineLevel="0" collapsed="false">
      <c r="A161" s="18" t="str">
        <f aca="false">IF(Data!A161="","",Data!A161)</f>
        <v/>
      </c>
      <c r="B161" s="18" t="str">
        <f aca="false">IF($A161="","",IF(Data!G161="Active",1,0))</f>
        <v/>
      </c>
      <c r="C161" s="18" t="str">
        <f aca="false">IF($B161&lt;&gt;1,"",IF(COUNTBLANK(Data!B161:H161)=0,1,0))</f>
        <v/>
      </c>
      <c r="D161" s="18" t="str">
        <f aca="false">IF($B161&lt;&gt;1,"",IF(LEFT(Data!E161,4)="OWN-",1,0))</f>
        <v/>
      </c>
      <c r="E161" s="18" t="str">
        <f aca="false">IF($B161&lt;&gt;1,"",IF(LEFT(Data!F161,4)="OWN-",1,0))</f>
        <v/>
      </c>
      <c r="F161" s="18" t="str">
        <f aca="false">IF($B161&lt;&gt;1,"",IF(OR(Data!I161="",(Settings!$B$2-Data!I161)&gt;Settings!$B$3),1,0))</f>
        <v/>
      </c>
      <c r="G161" s="18" t="str">
        <f aca="false">IF($B161&lt;&gt;1,"",IF(SUMPRODUCT(--($B$2:$B$201=1),--(LEFT(Data!$B$2:$B$201,8)=LEFT(Data!B161,8)))&gt;1,1,0))</f>
        <v/>
      </c>
      <c r="H161" s="18" t="str">
        <f aca="false">IF($B161&lt;&gt;1,"",IF(Data!D161="",1,0))</f>
        <v/>
      </c>
      <c r="I161" s="18" t="str">
        <f aca="false">IF($A161="","",IF(AND(Data!J161&lt;&gt;"",ISNUMBER(Data!J161),Data!J161&lt;Settings!$B$2,Data!G161="Active"),1,0))</f>
        <v/>
      </c>
      <c r="J161" s="18" t="str">
        <f aca="false">IF($A161="","",IF($B161&lt;&gt;1,0,(1-N($C161))+(1-N($D161))+(1-N($E161))+N($F161)+N($G161)+N($H161)+N($I161)))</f>
        <v/>
      </c>
    </row>
    <row r="162" customFormat="false" ht="15" hidden="false" customHeight="false" outlineLevel="0" collapsed="false">
      <c r="A162" s="17" t="str">
        <f aca="false">IF(Data!A162="","",Data!A162)</f>
        <v/>
      </c>
      <c r="B162" s="17" t="str">
        <f aca="false">IF($A162="","",IF(Data!G162="Active",1,0))</f>
        <v/>
      </c>
      <c r="C162" s="17" t="str">
        <f aca="false">IF($B162&lt;&gt;1,"",IF(COUNTBLANK(Data!B162:H162)=0,1,0))</f>
        <v/>
      </c>
      <c r="D162" s="17" t="str">
        <f aca="false">IF($B162&lt;&gt;1,"",IF(LEFT(Data!E162,4)="OWN-",1,0))</f>
        <v/>
      </c>
      <c r="E162" s="17" t="str">
        <f aca="false">IF($B162&lt;&gt;1,"",IF(LEFT(Data!F162,4)="OWN-",1,0))</f>
        <v/>
      </c>
      <c r="F162" s="17" t="str">
        <f aca="false">IF($B162&lt;&gt;1,"",IF(OR(Data!I162="",(Settings!$B$2-Data!I162)&gt;Settings!$B$3),1,0))</f>
        <v/>
      </c>
      <c r="G162" s="17" t="str">
        <f aca="false">IF($B162&lt;&gt;1,"",IF(SUMPRODUCT(--($B$2:$B$201=1),--(LEFT(Data!$B$2:$B$201,8)=LEFT(Data!B162,8)))&gt;1,1,0))</f>
        <v/>
      </c>
      <c r="H162" s="17" t="str">
        <f aca="false">IF($B162&lt;&gt;1,"",IF(Data!D162="",1,0))</f>
        <v/>
      </c>
      <c r="I162" s="17" t="str">
        <f aca="false">IF($A162="","",IF(AND(Data!J162&lt;&gt;"",ISNUMBER(Data!J162),Data!J162&lt;Settings!$B$2,Data!G162="Active"),1,0))</f>
        <v/>
      </c>
      <c r="J162" s="17" t="str">
        <f aca="false">IF($A162="","",IF($B162&lt;&gt;1,0,(1-N($C162))+(1-N($D162))+(1-N($E162))+N($F162)+N($G162)+N($H162)+N($I162)))</f>
        <v/>
      </c>
    </row>
    <row r="163" customFormat="false" ht="15" hidden="false" customHeight="false" outlineLevel="0" collapsed="false">
      <c r="A163" s="18" t="str">
        <f aca="false">IF(Data!A163="","",Data!A163)</f>
        <v/>
      </c>
      <c r="B163" s="18" t="str">
        <f aca="false">IF($A163="","",IF(Data!G163="Active",1,0))</f>
        <v/>
      </c>
      <c r="C163" s="18" t="str">
        <f aca="false">IF($B163&lt;&gt;1,"",IF(COUNTBLANK(Data!B163:H163)=0,1,0))</f>
        <v/>
      </c>
      <c r="D163" s="18" t="str">
        <f aca="false">IF($B163&lt;&gt;1,"",IF(LEFT(Data!E163,4)="OWN-",1,0))</f>
        <v/>
      </c>
      <c r="E163" s="18" t="str">
        <f aca="false">IF($B163&lt;&gt;1,"",IF(LEFT(Data!F163,4)="OWN-",1,0))</f>
        <v/>
      </c>
      <c r="F163" s="18" t="str">
        <f aca="false">IF($B163&lt;&gt;1,"",IF(OR(Data!I163="",(Settings!$B$2-Data!I163)&gt;Settings!$B$3),1,0))</f>
        <v/>
      </c>
      <c r="G163" s="18" t="str">
        <f aca="false">IF($B163&lt;&gt;1,"",IF(SUMPRODUCT(--($B$2:$B$201=1),--(LEFT(Data!$B$2:$B$201,8)=LEFT(Data!B163,8)))&gt;1,1,0))</f>
        <v/>
      </c>
      <c r="H163" s="18" t="str">
        <f aca="false">IF($B163&lt;&gt;1,"",IF(Data!D163="",1,0))</f>
        <v/>
      </c>
      <c r="I163" s="18" t="str">
        <f aca="false">IF($A163="","",IF(AND(Data!J163&lt;&gt;"",ISNUMBER(Data!J163),Data!J163&lt;Settings!$B$2,Data!G163="Active"),1,0))</f>
        <v/>
      </c>
      <c r="J163" s="18" t="str">
        <f aca="false">IF($A163="","",IF($B163&lt;&gt;1,0,(1-N($C163))+(1-N($D163))+(1-N($E163))+N($F163)+N($G163)+N($H163)+N($I163)))</f>
        <v/>
      </c>
    </row>
    <row r="164" customFormat="false" ht="15" hidden="false" customHeight="false" outlineLevel="0" collapsed="false">
      <c r="A164" s="17" t="str">
        <f aca="false">IF(Data!A164="","",Data!A164)</f>
        <v/>
      </c>
      <c r="B164" s="17" t="str">
        <f aca="false">IF($A164="","",IF(Data!G164="Active",1,0))</f>
        <v/>
      </c>
      <c r="C164" s="17" t="str">
        <f aca="false">IF($B164&lt;&gt;1,"",IF(COUNTBLANK(Data!B164:H164)=0,1,0))</f>
        <v/>
      </c>
      <c r="D164" s="17" t="str">
        <f aca="false">IF($B164&lt;&gt;1,"",IF(LEFT(Data!E164,4)="OWN-",1,0))</f>
        <v/>
      </c>
      <c r="E164" s="17" t="str">
        <f aca="false">IF($B164&lt;&gt;1,"",IF(LEFT(Data!F164,4)="OWN-",1,0))</f>
        <v/>
      </c>
      <c r="F164" s="17" t="str">
        <f aca="false">IF($B164&lt;&gt;1,"",IF(OR(Data!I164="",(Settings!$B$2-Data!I164)&gt;Settings!$B$3),1,0))</f>
        <v/>
      </c>
      <c r="G164" s="17" t="str">
        <f aca="false">IF($B164&lt;&gt;1,"",IF(SUMPRODUCT(--($B$2:$B$201=1),--(LEFT(Data!$B$2:$B$201,8)=LEFT(Data!B164,8)))&gt;1,1,0))</f>
        <v/>
      </c>
      <c r="H164" s="17" t="str">
        <f aca="false">IF($B164&lt;&gt;1,"",IF(Data!D164="",1,0))</f>
        <v/>
      </c>
      <c r="I164" s="17" t="str">
        <f aca="false">IF($A164="","",IF(AND(Data!J164&lt;&gt;"",ISNUMBER(Data!J164),Data!J164&lt;Settings!$B$2,Data!G164="Active"),1,0))</f>
        <v/>
      </c>
      <c r="J164" s="17" t="str">
        <f aca="false">IF($A164="","",IF($B164&lt;&gt;1,0,(1-N($C164))+(1-N($D164))+(1-N($E164))+N($F164)+N($G164)+N($H164)+N($I164)))</f>
        <v/>
      </c>
    </row>
    <row r="165" customFormat="false" ht="15" hidden="false" customHeight="false" outlineLevel="0" collapsed="false">
      <c r="A165" s="18" t="str">
        <f aca="false">IF(Data!A165="","",Data!A165)</f>
        <v/>
      </c>
      <c r="B165" s="18" t="str">
        <f aca="false">IF($A165="","",IF(Data!G165="Active",1,0))</f>
        <v/>
      </c>
      <c r="C165" s="18" t="str">
        <f aca="false">IF($B165&lt;&gt;1,"",IF(COUNTBLANK(Data!B165:H165)=0,1,0))</f>
        <v/>
      </c>
      <c r="D165" s="18" t="str">
        <f aca="false">IF($B165&lt;&gt;1,"",IF(LEFT(Data!E165,4)="OWN-",1,0))</f>
        <v/>
      </c>
      <c r="E165" s="18" t="str">
        <f aca="false">IF($B165&lt;&gt;1,"",IF(LEFT(Data!F165,4)="OWN-",1,0))</f>
        <v/>
      </c>
      <c r="F165" s="18" t="str">
        <f aca="false">IF($B165&lt;&gt;1,"",IF(OR(Data!I165="",(Settings!$B$2-Data!I165)&gt;Settings!$B$3),1,0))</f>
        <v/>
      </c>
      <c r="G165" s="18" t="str">
        <f aca="false">IF($B165&lt;&gt;1,"",IF(SUMPRODUCT(--($B$2:$B$201=1),--(LEFT(Data!$B$2:$B$201,8)=LEFT(Data!B165,8)))&gt;1,1,0))</f>
        <v/>
      </c>
      <c r="H165" s="18" t="str">
        <f aca="false">IF($B165&lt;&gt;1,"",IF(Data!D165="",1,0))</f>
        <v/>
      </c>
      <c r="I165" s="18" t="str">
        <f aca="false">IF($A165="","",IF(AND(Data!J165&lt;&gt;"",ISNUMBER(Data!J165),Data!J165&lt;Settings!$B$2,Data!G165="Active"),1,0))</f>
        <v/>
      </c>
      <c r="J165" s="18" t="str">
        <f aca="false">IF($A165="","",IF($B165&lt;&gt;1,0,(1-N($C165))+(1-N($D165))+(1-N($E165))+N($F165)+N($G165)+N($H165)+N($I165)))</f>
        <v/>
      </c>
    </row>
    <row r="166" customFormat="false" ht="15" hidden="false" customHeight="false" outlineLevel="0" collapsed="false">
      <c r="A166" s="17" t="str">
        <f aca="false">IF(Data!A166="","",Data!A166)</f>
        <v/>
      </c>
      <c r="B166" s="17" t="str">
        <f aca="false">IF($A166="","",IF(Data!G166="Active",1,0))</f>
        <v/>
      </c>
      <c r="C166" s="17" t="str">
        <f aca="false">IF($B166&lt;&gt;1,"",IF(COUNTBLANK(Data!B166:H166)=0,1,0))</f>
        <v/>
      </c>
      <c r="D166" s="17" t="str">
        <f aca="false">IF($B166&lt;&gt;1,"",IF(LEFT(Data!E166,4)="OWN-",1,0))</f>
        <v/>
      </c>
      <c r="E166" s="17" t="str">
        <f aca="false">IF($B166&lt;&gt;1,"",IF(LEFT(Data!F166,4)="OWN-",1,0))</f>
        <v/>
      </c>
      <c r="F166" s="17" t="str">
        <f aca="false">IF($B166&lt;&gt;1,"",IF(OR(Data!I166="",(Settings!$B$2-Data!I166)&gt;Settings!$B$3),1,0))</f>
        <v/>
      </c>
      <c r="G166" s="17" t="str">
        <f aca="false">IF($B166&lt;&gt;1,"",IF(SUMPRODUCT(--($B$2:$B$201=1),--(LEFT(Data!$B$2:$B$201,8)=LEFT(Data!B166,8)))&gt;1,1,0))</f>
        <v/>
      </c>
      <c r="H166" s="17" t="str">
        <f aca="false">IF($B166&lt;&gt;1,"",IF(Data!D166="",1,0))</f>
        <v/>
      </c>
      <c r="I166" s="17" t="str">
        <f aca="false">IF($A166="","",IF(AND(Data!J166&lt;&gt;"",ISNUMBER(Data!J166),Data!J166&lt;Settings!$B$2,Data!G166="Active"),1,0))</f>
        <v/>
      </c>
      <c r="J166" s="17" t="str">
        <f aca="false">IF($A166="","",IF($B166&lt;&gt;1,0,(1-N($C166))+(1-N($D166))+(1-N($E166))+N($F166)+N($G166)+N($H166)+N($I166)))</f>
        <v/>
      </c>
    </row>
    <row r="167" customFormat="false" ht="15" hidden="false" customHeight="false" outlineLevel="0" collapsed="false">
      <c r="A167" s="18" t="str">
        <f aca="false">IF(Data!A167="","",Data!A167)</f>
        <v/>
      </c>
      <c r="B167" s="18" t="str">
        <f aca="false">IF($A167="","",IF(Data!G167="Active",1,0))</f>
        <v/>
      </c>
      <c r="C167" s="18" t="str">
        <f aca="false">IF($B167&lt;&gt;1,"",IF(COUNTBLANK(Data!B167:H167)=0,1,0))</f>
        <v/>
      </c>
      <c r="D167" s="18" t="str">
        <f aca="false">IF($B167&lt;&gt;1,"",IF(LEFT(Data!E167,4)="OWN-",1,0))</f>
        <v/>
      </c>
      <c r="E167" s="18" t="str">
        <f aca="false">IF($B167&lt;&gt;1,"",IF(LEFT(Data!F167,4)="OWN-",1,0))</f>
        <v/>
      </c>
      <c r="F167" s="18" t="str">
        <f aca="false">IF($B167&lt;&gt;1,"",IF(OR(Data!I167="",(Settings!$B$2-Data!I167)&gt;Settings!$B$3),1,0))</f>
        <v/>
      </c>
      <c r="G167" s="18" t="str">
        <f aca="false">IF($B167&lt;&gt;1,"",IF(SUMPRODUCT(--($B$2:$B$201=1),--(LEFT(Data!$B$2:$B$201,8)=LEFT(Data!B167,8)))&gt;1,1,0))</f>
        <v/>
      </c>
      <c r="H167" s="18" t="str">
        <f aca="false">IF($B167&lt;&gt;1,"",IF(Data!D167="",1,0))</f>
        <v/>
      </c>
      <c r="I167" s="18" t="str">
        <f aca="false">IF($A167="","",IF(AND(Data!J167&lt;&gt;"",ISNUMBER(Data!J167),Data!J167&lt;Settings!$B$2,Data!G167="Active"),1,0))</f>
        <v/>
      </c>
      <c r="J167" s="18" t="str">
        <f aca="false">IF($A167="","",IF($B167&lt;&gt;1,0,(1-N($C167))+(1-N($D167))+(1-N($E167))+N($F167)+N($G167)+N($H167)+N($I167)))</f>
        <v/>
      </c>
    </row>
    <row r="168" customFormat="false" ht="15" hidden="false" customHeight="false" outlineLevel="0" collapsed="false">
      <c r="A168" s="17" t="str">
        <f aca="false">IF(Data!A168="","",Data!A168)</f>
        <v/>
      </c>
      <c r="B168" s="17" t="str">
        <f aca="false">IF($A168="","",IF(Data!G168="Active",1,0))</f>
        <v/>
      </c>
      <c r="C168" s="17" t="str">
        <f aca="false">IF($B168&lt;&gt;1,"",IF(COUNTBLANK(Data!B168:H168)=0,1,0))</f>
        <v/>
      </c>
      <c r="D168" s="17" t="str">
        <f aca="false">IF($B168&lt;&gt;1,"",IF(LEFT(Data!E168,4)="OWN-",1,0))</f>
        <v/>
      </c>
      <c r="E168" s="17" t="str">
        <f aca="false">IF($B168&lt;&gt;1,"",IF(LEFT(Data!F168,4)="OWN-",1,0))</f>
        <v/>
      </c>
      <c r="F168" s="17" t="str">
        <f aca="false">IF($B168&lt;&gt;1,"",IF(OR(Data!I168="",(Settings!$B$2-Data!I168)&gt;Settings!$B$3),1,0))</f>
        <v/>
      </c>
      <c r="G168" s="17" t="str">
        <f aca="false">IF($B168&lt;&gt;1,"",IF(SUMPRODUCT(--($B$2:$B$201=1),--(LEFT(Data!$B$2:$B$201,8)=LEFT(Data!B168,8)))&gt;1,1,0))</f>
        <v/>
      </c>
      <c r="H168" s="17" t="str">
        <f aca="false">IF($B168&lt;&gt;1,"",IF(Data!D168="",1,0))</f>
        <v/>
      </c>
      <c r="I168" s="17" t="str">
        <f aca="false">IF($A168="","",IF(AND(Data!J168&lt;&gt;"",ISNUMBER(Data!J168),Data!J168&lt;Settings!$B$2,Data!G168="Active"),1,0))</f>
        <v/>
      </c>
      <c r="J168" s="17" t="str">
        <f aca="false">IF($A168="","",IF($B168&lt;&gt;1,0,(1-N($C168))+(1-N($D168))+(1-N($E168))+N($F168)+N($G168)+N($H168)+N($I168)))</f>
        <v/>
      </c>
    </row>
    <row r="169" customFormat="false" ht="15" hidden="false" customHeight="false" outlineLevel="0" collapsed="false">
      <c r="A169" s="18" t="str">
        <f aca="false">IF(Data!A169="","",Data!A169)</f>
        <v/>
      </c>
      <c r="B169" s="18" t="str">
        <f aca="false">IF($A169="","",IF(Data!G169="Active",1,0))</f>
        <v/>
      </c>
      <c r="C169" s="18" t="str">
        <f aca="false">IF($B169&lt;&gt;1,"",IF(COUNTBLANK(Data!B169:H169)=0,1,0))</f>
        <v/>
      </c>
      <c r="D169" s="18" t="str">
        <f aca="false">IF($B169&lt;&gt;1,"",IF(LEFT(Data!E169,4)="OWN-",1,0))</f>
        <v/>
      </c>
      <c r="E169" s="18" t="str">
        <f aca="false">IF($B169&lt;&gt;1,"",IF(LEFT(Data!F169,4)="OWN-",1,0))</f>
        <v/>
      </c>
      <c r="F169" s="18" t="str">
        <f aca="false">IF($B169&lt;&gt;1,"",IF(OR(Data!I169="",(Settings!$B$2-Data!I169)&gt;Settings!$B$3),1,0))</f>
        <v/>
      </c>
      <c r="G169" s="18" t="str">
        <f aca="false">IF($B169&lt;&gt;1,"",IF(SUMPRODUCT(--($B$2:$B$201=1),--(LEFT(Data!$B$2:$B$201,8)=LEFT(Data!B169,8)))&gt;1,1,0))</f>
        <v/>
      </c>
      <c r="H169" s="18" t="str">
        <f aca="false">IF($B169&lt;&gt;1,"",IF(Data!D169="",1,0))</f>
        <v/>
      </c>
      <c r="I169" s="18" t="str">
        <f aca="false">IF($A169="","",IF(AND(Data!J169&lt;&gt;"",ISNUMBER(Data!J169),Data!J169&lt;Settings!$B$2,Data!G169="Active"),1,0))</f>
        <v/>
      </c>
      <c r="J169" s="18" t="str">
        <f aca="false">IF($A169="","",IF($B169&lt;&gt;1,0,(1-N($C169))+(1-N($D169))+(1-N($E169))+N($F169)+N($G169)+N($H169)+N($I169)))</f>
        <v/>
      </c>
    </row>
    <row r="170" customFormat="false" ht="15" hidden="false" customHeight="false" outlineLevel="0" collapsed="false">
      <c r="A170" s="17" t="str">
        <f aca="false">IF(Data!A170="","",Data!A170)</f>
        <v/>
      </c>
      <c r="B170" s="17" t="str">
        <f aca="false">IF($A170="","",IF(Data!G170="Active",1,0))</f>
        <v/>
      </c>
      <c r="C170" s="17" t="str">
        <f aca="false">IF($B170&lt;&gt;1,"",IF(COUNTBLANK(Data!B170:H170)=0,1,0))</f>
        <v/>
      </c>
      <c r="D170" s="17" t="str">
        <f aca="false">IF($B170&lt;&gt;1,"",IF(LEFT(Data!E170,4)="OWN-",1,0))</f>
        <v/>
      </c>
      <c r="E170" s="17" t="str">
        <f aca="false">IF($B170&lt;&gt;1,"",IF(LEFT(Data!F170,4)="OWN-",1,0))</f>
        <v/>
      </c>
      <c r="F170" s="17" t="str">
        <f aca="false">IF($B170&lt;&gt;1,"",IF(OR(Data!I170="",(Settings!$B$2-Data!I170)&gt;Settings!$B$3),1,0))</f>
        <v/>
      </c>
      <c r="G170" s="17" t="str">
        <f aca="false">IF($B170&lt;&gt;1,"",IF(SUMPRODUCT(--($B$2:$B$201=1),--(LEFT(Data!$B$2:$B$201,8)=LEFT(Data!B170,8)))&gt;1,1,0))</f>
        <v/>
      </c>
      <c r="H170" s="17" t="str">
        <f aca="false">IF($B170&lt;&gt;1,"",IF(Data!D170="",1,0))</f>
        <v/>
      </c>
      <c r="I170" s="17" t="str">
        <f aca="false">IF($A170="","",IF(AND(Data!J170&lt;&gt;"",ISNUMBER(Data!J170),Data!J170&lt;Settings!$B$2,Data!G170="Active"),1,0))</f>
        <v/>
      </c>
      <c r="J170" s="17" t="str">
        <f aca="false">IF($A170="","",IF($B170&lt;&gt;1,0,(1-N($C170))+(1-N($D170))+(1-N($E170))+N($F170)+N($G170)+N($H170)+N($I170)))</f>
        <v/>
      </c>
    </row>
    <row r="171" customFormat="false" ht="15" hidden="false" customHeight="false" outlineLevel="0" collapsed="false">
      <c r="A171" s="18" t="str">
        <f aca="false">IF(Data!A171="","",Data!A171)</f>
        <v/>
      </c>
      <c r="B171" s="18" t="str">
        <f aca="false">IF($A171="","",IF(Data!G171="Active",1,0))</f>
        <v/>
      </c>
      <c r="C171" s="18" t="str">
        <f aca="false">IF($B171&lt;&gt;1,"",IF(COUNTBLANK(Data!B171:H171)=0,1,0))</f>
        <v/>
      </c>
      <c r="D171" s="18" t="str">
        <f aca="false">IF($B171&lt;&gt;1,"",IF(LEFT(Data!E171,4)="OWN-",1,0))</f>
        <v/>
      </c>
      <c r="E171" s="18" t="str">
        <f aca="false">IF($B171&lt;&gt;1,"",IF(LEFT(Data!F171,4)="OWN-",1,0))</f>
        <v/>
      </c>
      <c r="F171" s="18" t="str">
        <f aca="false">IF($B171&lt;&gt;1,"",IF(OR(Data!I171="",(Settings!$B$2-Data!I171)&gt;Settings!$B$3),1,0))</f>
        <v/>
      </c>
      <c r="G171" s="18" t="str">
        <f aca="false">IF($B171&lt;&gt;1,"",IF(SUMPRODUCT(--($B$2:$B$201=1),--(LEFT(Data!$B$2:$B$201,8)=LEFT(Data!B171,8)))&gt;1,1,0))</f>
        <v/>
      </c>
      <c r="H171" s="18" t="str">
        <f aca="false">IF($B171&lt;&gt;1,"",IF(Data!D171="",1,0))</f>
        <v/>
      </c>
      <c r="I171" s="18" t="str">
        <f aca="false">IF($A171="","",IF(AND(Data!J171&lt;&gt;"",ISNUMBER(Data!J171),Data!J171&lt;Settings!$B$2,Data!G171="Active"),1,0))</f>
        <v/>
      </c>
      <c r="J171" s="18" t="str">
        <f aca="false">IF($A171="","",IF($B171&lt;&gt;1,0,(1-N($C171))+(1-N($D171))+(1-N($E171))+N($F171)+N($G171)+N($H171)+N($I171)))</f>
        <v/>
      </c>
    </row>
    <row r="172" customFormat="false" ht="15" hidden="false" customHeight="false" outlineLevel="0" collapsed="false">
      <c r="A172" s="17" t="str">
        <f aca="false">IF(Data!A172="","",Data!A172)</f>
        <v/>
      </c>
      <c r="B172" s="17" t="str">
        <f aca="false">IF($A172="","",IF(Data!G172="Active",1,0))</f>
        <v/>
      </c>
      <c r="C172" s="17" t="str">
        <f aca="false">IF($B172&lt;&gt;1,"",IF(COUNTBLANK(Data!B172:H172)=0,1,0))</f>
        <v/>
      </c>
      <c r="D172" s="17" t="str">
        <f aca="false">IF($B172&lt;&gt;1,"",IF(LEFT(Data!E172,4)="OWN-",1,0))</f>
        <v/>
      </c>
      <c r="E172" s="17" t="str">
        <f aca="false">IF($B172&lt;&gt;1,"",IF(LEFT(Data!F172,4)="OWN-",1,0))</f>
        <v/>
      </c>
      <c r="F172" s="17" t="str">
        <f aca="false">IF($B172&lt;&gt;1,"",IF(OR(Data!I172="",(Settings!$B$2-Data!I172)&gt;Settings!$B$3),1,0))</f>
        <v/>
      </c>
      <c r="G172" s="17" t="str">
        <f aca="false">IF($B172&lt;&gt;1,"",IF(SUMPRODUCT(--($B$2:$B$201=1),--(LEFT(Data!$B$2:$B$201,8)=LEFT(Data!B172,8)))&gt;1,1,0))</f>
        <v/>
      </c>
      <c r="H172" s="17" t="str">
        <f aca="false">IF($B172&lt;&gt;1,"",IF(Data!D172="",1,0))</f>
        <v/>
      </c>
      <c r="I172" s="17" t="str">
        <f aca="false">IF($A172="","",IF(AND(Data!J172&lt;&gt;"",ISNUMBER(Data!J172),Data!J172&lt;Settings!$B$2,Data!G172="Active"),1,0))</f>
        <v/>
      </c>
      <c r="J172" s="17" t="str">
        <f aca="false">IF($A172="","",IF($B172&lt;&gt;1,0,(1-N($C172))+(1-N($D172))+(1-N($E172))+N($F172)+N($G172)+N($H172)+N($I172)))</f>
        <v/>
      </c>
    </row>
    <row r="173" customFormat="false" ht="15" hidden="false" customHeight="false" outlineLevel="0" collapsed="false">
      <c r="A173" s="18" t="str">
        <f aca="false">IF(Data!A173="","",Data!A173)</f>
        <v/>
      </c>
      <c r="B173" s="18" t="str">
        <f aca="false">IF($A173="","",IF(Data!G173="Active",1,0))</f>
        <v/>
      </c>
      <c r="C173" s="18" t="str">
        <f aca="false">IF($B173&lt;&gt;1,"",IF(COUNTBLANK(Data!B173:H173)=0,1,0))</f>
        <v/>
      </c>
      <c r="D173" s="18" t="str">
        <f aca="false">IF($B173&lt;&gt;1,"",IF(LEFT(Data!E173,4)="OWN-",1,0))</f>
        <v/>
      </c>
      <c r="E173" s="18" t="str">
        <f aca="false">IF($B173&lt;&gt;1,"",IF(LEFT(Data!F173,4)="OWN-",1,0))</f>
        <v/>
      </c>
      <c r="F173" s="18" t="str">
        <f aca="false">IF($B173&lt;&gt;1,"",IF(OR(Data!I173="",(Settings!$B$2-Data!I173)&gt;Settings!$B$3),1,0))</f>
        <v/>
      </c>
      <c r="G173" s="18" t="str">
        <f aca="false">IF($B173&lt;&gt;1,"",IF(SUMPRODUCT(--($B$2:$B$201=1),--(LEFT(Data!$B$2:$B$201,8)=LEFT(Data!B173,8)))&gt;1,1,0))</f>
        <v/>
      </c>
      <c r="H173" s="18" t="str">
        <f aca="false">IF($B173&lt;&gt;1,"",IF(Data!D173="",1,0))</f>
        <v/>
      </c>
      <c r="I173" s="18" t="str">
        <f aca="false">IF($A173="","",IF(AND(Data!J173&lt;&gt;"",ISNUMBER(Data!J173),Data!J173&lt;Settings!$B$2,Data!G173="Active"),1,0))</f>
        <v/>
      </c>
      <c r="J173" s="18" t="str">
        <f aca="false">IF($A173="","",IF($B173&lt;&gt;1,0,(1-N($C173))+(1-N($D173))+(1-N($E173))+N($F173)+N($G173)+N($H173)+N($I173)))</f>
        <v/>
      </c>
    </row>
    <row r="174" customFormat="false" ht="15" hidden="false" customHeight="false" outlineLevel="0" collapsed="false">
      <c r="A174" s="17" t="str">
        <f aca="false">IF(Data!A174="","",Data!A174)</f>
        <v/>
      </c>
      <c r="B174" s="17" t="str">
        <f aca="false">IF($A174="","",IF(Data!G174="Active",1,0))</f>
        <v/>
      </c>
      <c r="C174" s="17" t="str">
        <f aca="false">IF($B174&lt;&gt;1,"",IF(COUNTBLANK(Data!B174:H174)=0,1,0))</f>
        <v/>
      </c>
      <c r="D174" s="17" t="str">
        <f aca="false">IF($B174&lt;&gt;1,"",IF(LEFT(Data!E174,4)="OWN-",1,0))</f>
        <v/>
      </c>
      <c r="E174" s="17" t="str">
        <f aca="false">IF($B174&lt;&gt;1,"",IF(LEFT(Data!F174,4)="OWN-",1,0))</f>
        <v/>
      </c>
      <c r="F174" s="17" t="str">
        <f aca="false">IF($B174&lt;&gt;1,"",IF(OR(Data!I174="",(Settings!$B$2-Data!I174)&gt;Settings!$B$3),1,0))</f>
        <v/>
      </c>
      <c r="G174" s="17" t="str">
        <f aca="false">IF($B174&lt;&gt;1,"",IF(SUMPRODUCT(--($B$2:$B$201=1),--(LEFT(Data!$B$2:$B$201,8)=LEFT(Data!B174,8)))&gt;1,1,0))</f>
        <v/>
      </c>
      <c r="H174" s="17" t="str">
        <f aca="false">IF($B174&lt;&gt;1,"",IF(Data!D174="",1,0))</f>
        <v/>
      </c>
      <c r="I174" s="17" t="str">
        <f aca="false">IF($A174="","",IF(AND(Data!J174&lt;&gt;"",ISNUMBER(Data!J174),Data!J174&lt;Settings!$B$2,Data!G174="Active"),1,0))</f>
        <v/>
      </c>
      <c r="J174" s="17" t="str">
        <f aca="false">IF($A174="","",IF($B174&lt;&gt;1,0,(1-N($C174))+(1-N($D174))+(1-N($E174))+N($F174)+N($G174)+N($H174)+N($I174)))</f>
        <v/>
      </c>
    </row>
    <row r="175" customFormat="false" ht="15" hidden="false" customHeight="false" outlineLevel="0" collapsed="false">
      <c r="A175" s="18" t="str">
        <f aca="false">IF(Data!A175="","",Data!A175)</f>
        <v/>
      </c>
      <c r="B175" s="18" t="str">
        <f aca="false">IF($A175="","",IF(Data!G175="Active",1,0))</f>
        <v/>
      </c>
      <c r="C175" s="18" t="str">
        <f aca="false">IF($B175&lt;&gt;1,"",IF(COUNTBLANK(Data!B175:H175)=0,1,0))</f>
        <v/>
      </c>
      <c r="D175" s="18" t="str">
        <f aca="false">IF($B175&lt;&gt;1,"",IF(LEFT(Data!E175,4)="OWN-",1,0))</f>
        <v/>
      </c>
      <c r="E175" s="18" t="str">
        <f aca="false">IF($B175&lt;&gt;1,"",IF(LEFT(Data!F175,4)="OWN-",1,0))</f>
        <v/>
      </c>
      <c r="F175" s="18" t="str">
        <f aca="false">IF($B175&lt;&gt;1,"",IF(OR(Data!I175="",(Settings!$B$2-Data!I175)&gt;Settings!$B$3),1,0))</f>
        <v/>
      </c>
      <c r="G175" s="18" t="str">
        <f aca="false">IF($B175&lt;&gt;1,"",IF(SUMPRODUCT(--($B$2:$B$201=1),--(LEFT(Data!$B$2:$B$201,8)=LEFT(Data!B175,8)))&gt;1,1,0))</f>
        <v/>
      </c>
      <c r="H175" s="18" t="str">
        <f aca="false">IF($B175&lt;&gt;1,"",IF(Data!D175="",1,0))</f>
        <v/>
      </c>
      <c r="I175" s="18" t="str">
        <f aca="false">IF($A175="","",IF(AND(Data!J175&lt;&gt;"",ISNUMBER(Data!J175),Data!J175&lt;Settings!$B$2,Data!G175="Active"),1,0))</f>
        <v/>
      </c>
      <c r="J175" s="18" t="str">
        <f aca="false">IF($A175="","",IF($B175&lt;&gt;1,0,(1-N($C175))+(1-N($D175))+(1-N($E175))+N($F175)+N($G175)+N($H175)+N($I175)))</f>
        <v/>
      </c>
    </row>
    <row r="176" customFormat="false" ht="15" hidden="false" customHeight="false" outlineLevel="0" collapsed="false">
      <c r="A176" s="17" t="str">
        <f aca="false">IF(Data!A176="","",Data!A176)</f>
        <v/>
      </c>
      <c r="B176" s="17" t="str">
        <f aca="false">IF($A176="","",IF(Data!G176="Active",1,0))</f>
        <v/>
      </c>
      <c r="C176" s="17" t="str">
        <f aca="false">IF($B176&lt;&gt;1,"",IF(COUNTBLANK(Data!B176:H176)=0,1,0))</f>
        <v/>
      </c>
      <c r="D176" s="17" t="str">
        <f aca="false">IF($B176&lt;&gt;1,"",IF(LEFT(Data!E176,4)="OWN-",1,0))</f>
        <v/>
      </c>
      <c r="E176" s="17" t="str">
        <f aca="false">IF($B176&lt;&gt;1,"",IF(LEFT(Data!F176,4)="OWN-",1,0))</f>
        <v/>
      </c>
      <c r="F176" s="17" t="str">
        <f aca="false">IF($B176&lt;&gt;1,"",IF(OR(Data!I176="",(Settings!$B$2-Data!I176)&gt;Settings!$B$3),1,0))</f>
        <v/>
      </c>
      <c r="G176" s="17" t="str">
        <f aca="false">IF($B176&lt;&gt;1,"",IF(SUMPRODUCT(--($B$2:$B$201=1),--(LEFT(Data!$B$2:$B$201,8)=LEFT(Data!B176,8)))&gt;1,1,0))</f>
        <v/>
      </c>
      <c r="H176" s="17" t="str">
        <f aca="false">IF($B176&lt;&gt;1,"",IF(Data!D176="",1,0))</f>
        <v/>
      </c>
      <c r="I176" s="17" t="str">
        <f aca="false">IF($A176="","",IF(AND(Data!J176&lt;&gt;"",ISNUMBER(Data!J176),Data!J176&lt;Settings!$B$2,Data!G176="Active"),1,0))</f>
        <v/>
      </c>
      <c r="J176" s="17" t="str">
        <f aca="false">IF($A176="","",IF($B176&lt;&gt;1,0,(1-N($C176))+(1-N($D176))+(1-N($E176))+N($F176)+N($G176)+N($H176)+N($I176)))</f>
        <v/>
      </c>
    </row>
    <row r="177" customFormat="false" ht="15" hidden="false" customHeight="false" outlineLevel="0" collapsed="false">
      <c r="A177" s="18" t="str">
        <f aca="false">IF(Data!A177="","",Data!A177)</f>
        <v/>
      </c>
      <c r="B177" s="18" t="str">
        <f aca="false">IF($A177="","",IF(Data!G177="Active",1,0))</f>
        <v/>
      </c>
      <c r="C177" s="18" t="str">
        <f aca="false">IF($B177&lt;&gt;1,"",IF(COUNTBLANK(Data!B177:H177)=0,1,0))</f>
        <v/>
      </c>
      <c r="D177" s="18" t="str">
        <f aca="false">IF($B177&lt;&gt;1,"",IF(LEFT(Data!E177,4)="OWN-",1,0))</f>
        <v/>
      </c>
      <c r="E177" s="18" t="str">
        <f aca="false">IF($B177&lt;&gt;1,"",IF(LEFT(Data!F177,4)="OWN-",1,0))</f>
        <v/>
      </c>
      <c r="F177" s="18" t="str">
        <f aca="false">IF($B177&lt;&gt;1,"",IF(OR(Data!I177="",(Settings!$B$2-Data!I177)&gt;Settings!$B$3),1,0))</f>
        <v/>
      </c>
      <c r="G177" s="18" t="str">
        <f aca="false">IF($B177&lt;&gt;1,"",IF(SUMPRODUCT(--($B$2:$B$201=1),--(LEFT(Data!$B$2:$B$201,8)=LEFT(Data!B177,8)))&gt;1,1,0))</f>
        <v/>
      </c>
      <c r="H177" s="18" t="str">
        <f aca="false">IF($B177&lt;&gt;1,"",IF(Data!D177="",1,0))</f>
        <v/>
      </c>
      <c r="I177" s="18" t="str">
        <f aca="false">IF($A177="","",IF(AND(Data!J177&lt;&gt;"",ISNUMBER(Data!J177),Data!J177&lt;Settings!$B$2,Data!G177="Active"),1,0))</f>
        <v/>
      </c>
      <c r="J177" s="18" t="str">
        <f aca="false">IF($A177="","",IF($B177&lt;&gt;1,0,(1-N($C177))+(1-N($D177))+(1-N($E177))+N($F177)+N($G177)+N($H177)+N($I177)))</f>
        <v/>
      </c>
    </row>
    <row r="178" customFormat="false" ht="15" hidden="false" customHeight="false" outlineLevel="0" collapsed="false">
      <c r="A178" s="17" t="str">
        <f aca="false">IF(Data!A178="","",Data!A178)</f>
        <v/>
      </c>
      <c r="B178" s="17" t="str">
        <f aca="false">IF($A178="","",IF(Data!G178="Active",1,0))</f>
        <v/>
      </c>
      <c r="C178" s="17" t="str">
        <f aca="false">IF($B178&lt;&gt;1,"",IF(COUNTBLANK(Data!B178:H178)=0,1,0))</f>
        <v/>
      </c>
      <c r="D178" s="17" t="str">
        <f aca="false">IF($B178&lt;&gt;1,"",IF(LEFT(Data!E178,4)="OWN-",1,0))</f>
        <v/>
      </c>
      <c r="E178" s="17" t="str">
        <f aca="false">IF($B178&lt;&gt;1,"",IF(LEFT(Data!F178,4)="OWN-",1,0))</f>
        <v/>
      </c>
      <c r="F178" s="17" t="str">
        <f aca="false">IF($B178&lt;&gt;1,"",IF(OR(Data!I178="",(Settings!$B$2-Data!I178)&gt;Settings!$B$3),1,0))</f>
        <v/>
      </c>
      <c r="G178" s="17" t="str">
        <f aca="false">IF($B178&lt;&gt;1,"",IF(SUMPRODUCT(--($B$2:$B$201=1),--(LEFT(Data!$B$2:$B$201,8)=LEFT(Data!B178,8)))&gt;1,1,0))</f>
        <v/>
      </c>
      <c r="H178" s="17" t="str">
        <f aca="false">IF($B178&lt;&gt;1,"",IF(Data!D178="",1,0))</f>
        <v/>
      </c>
      <c r="I178" s="17" t="str">
        <f aca="false">IF($A178="","",IF(AND(Data!J178&lt;&gt;"",ISNUMBER(Data!J178),Data!J178&lt;Settings!$B$2,Data!G178="Active"),1,0))</f>
        <v/>
      </c>
      <c r="J178" s="17" t="str">
        <f aca="false">IF($A178="","",IF($B178&lt;&gt;1,0,(1-N($C178))+(1-N($D178))+(1-N($E178))+N($F178)+N($G178)+N($H178)+N($I178)))</f>
        <v/>
      </c>
    </row>
    <row r="179" customFormat="false" ht="15" hidden="false" customHeight="false" outlineLevel="0" collapsed="false">
      <c r="A179" s="18" t="str">
        <f aca="false">IF(Data!A179="","",Data!A179)</f>
        <v/>
      </c>
      <c r="B179" s="18" t="str">
        <f aca="false">IF($A179="","",IF(Data!G179="Active",1,0))</f>
        <v/>
      </c>
      <c r="C179" s="18" t="str">
        <f aca="false">IF($B179&lt;&gt;1,"",IF(COUNTBLANK(Data!B179:H179)=0,1,0))</f>
        <v/>
      </c>
      <c r="D179" s="18" t="str">
        <f aca="false">IF($B179&lt;&gt;1,"",IF(LEFT(Data!E179,4)="OWN-",1,0))</f>
        <v/>
      </c>
      <c r="E179" s="18" t="str">
        <f aca="false">IF($B179&lt;&gt;1,"",IF(LEFT(Data!F179,4)="OWN-",1,0))</f>
        <v/>
      </c>
      <c r="F179" s="18" t="str">
        <f aca="false">IF($B179&lt;&gt;1,"",IF(OR(Data!I179="",(Settings!$B$2-Data!I179)&gt;Settings!$B$3),1,0))</f>
        <v/>
      </c>
      <c r="G179" s="18" t="str">
        <f aca="false">IF($B179&lt;&gt;1,"",IF(SUMPRODUCT(--($B$2:$B$201=1),--(LEFT(Data!$B$2:$B$201,8)=LEFT(Data!B179,8)))&gt;1,1,0))</f>
        <v/>
      </c>
      <c r="H179" s="18" t="str">
        <f aca="false">IF($B179&lt;&gt;1,"",IF(Data!D179="",1,0))</f>
        <v/>
      </c>
      <c r="I179" s="18" t="str">
        <f aca="false">IF($A179="","",IF(AND(Data!J179&lt;&gt;"",ISNUMBER(Data!J179),Data!J179&lt;Settings!$B$2,Data!G179="Active"),1,0))</f>
        <v/>
      </c>
      <c r="J179" s="18" t="str">
        <f aca="false">IF($A179="","",IF($B179&lt;&gt;1,0,(1-N($C179))+(1-N($D179))+(1-N($E179))+N($F179)+N($G179)+N($H179)+N($I179)))</f>
        <v/>
      </c>
    </row>
    <row r="180" customFormat="false" ht="15" hidden="false" customHeight="false" outlineLevel="0" collapsed="false">
      <c r="A180" s="17" t="str">
        <f aca="false">IF(Data!A180="","",Data!A180)</f>
        <v/>
      </c>
      <c r="B180" s="17" t="str">
        <f aca="false">IF($A180="","",IF(Data!G180="Active",1,0))</f>
        <v/>
      </c>
      <c r="C180" s="17" t="str">
        <f aca="false">IF($B180&lt;&gt;1,"",IF(COUNTBLANK(Data!B180:H180)=0,1,0))</f>
        <v/>
      </c>
      <c r="D180" s="17" t="str">
        <f aca="false">IF($B180&lt;&gt;1,"",IF(LEFT(Data!E180,4)="OWN-",1,0))</f>
        <v/>
      </c>
      <c r="E180" s="17" t="str">
        <f aca="false">IF($B180&lt;&gt;1,"",IF(LEFT(Data!F180,4)="OWN-",1,0))</f>
        <v/>
      </c>
      <c r="F180" s="17" t="str">
        <f aca="false">IF($B180&lt;&gt;1,"",IF(OR(Data!I180="",(Settings!$B$2-Data!I180)&gt;Settings!$B$3),1,0))</f>
        <v/>
      </c>
      <c r="G180" s="17" t="str">
        <f aca="false">IF($B180&lt;&gt;1,"",IF(SUMPRODUCT(--($B$2:$B$201=1),--(LEFT(Data!$B$2:$B$201,8)=LEFT(Data!B180,8)))&gt;1,1,0))</f>
        <v/>
      </c>
      <c r="H180" s="17" t="str">
        <f aca="false">IF($B180&lt;&gt;1,"",IF(Data!D180="",1,0))</f>
        <v/>
      </c>
      <c r="I180" s="17" t="str">
        <f aca="false">IF($A180="","",IF(AND(Data!J180&lt;&gt;"",ISNUMBER(Data!J180),Data!J180&lt;Settings!$B$2,Data!G180="Active"),1,0))</f>
        <v/>
      </c>
      <c r="J180" s="17" t="str">
        <f aca="false">IF($A180="","",IF($B180&lt;&gt;1,0,(1-N($C180))+(1-N($D180))+(1-N($E180))+N($F180)+N($G180)+N($H180)+N($I180)))</f>
        <v/>
      </c>
    </row>
    <row r="181" customFormat="false" ht="15" hidden="false" customHeight="false" outlineLevel="0" collapsed="false">
      <c r="A181" s="18" t="str">
        <f aca="false">IF(Data!A181="","",Data!A181)</f>
        <v/>
      </c>
      <c r="B181" s="18" t="str">
        <f aca="false">IF($A181="","",IF(Data!G181="Active",1,0))</f>
        <v/>
      </c>
      <c r="C181" s="18" t="str">
        <f aca="false">IF($B181&lt;&gt;1,"",IF(COUNTBLANK(Data!B181:H181)=0,1,0))</f>
        <v/>
      </c>
      <c r="D181" s="18" t="str">
        <f aca="false">IF($B181&lt;&gt;1,"",IF(LEFT(Data!E181,4)="OWN-",1,0))</f>
        <v/>
      </c>
      <c r="E181" s="18" t="str">
        <f aca="false">IF($B181&lt;&gt;1,"",IF(LEFT(Data!F181,4)="OWN-",1,0))</f>
        <v/>
      </c>
      <c r="F181" s="18" t="str">
        <f aca="false">IF($B181&lt;&gt;1,"",IF(OR(Data!I181="",(Settings!$B$2-Data!I181)&gt;Settings!$B$3),1,0))</f>
        <v/>
      </c>
      <c r="G181" s="18" t="str">
        <f aca="false">IF($B181&lt;&gt;1,"",IF(SUMPRODUCT(--($B$2:$B$201=1),--(LEFT(Data!$B$2:$B$201,8)=LEFT(Data!B181,8)))&gt;1,1,0))</f>
        <v/>
      </c>
      <c r="H181" s="18" t="str">
        <f aca="false">IF($B181&lt;&gt;1,"",IF(Data!D181="",1,0))</f>
        <v/>
      </c>
      <c r="I181" s="18" t="str">
        <f aca="false">IF($A181="","",IF(AND(Data!J181&lt;&gt;"",ISNUMBER(Data!J181),Data!J181&lt;Settings!$B$2,Data!G181="Active"),1,0))</f>
        <v/>
      </c>
      <c r="J181" s="18" t="str">
        <f aca="false">IF($A181="","",IF($B181&lt;&gt;1,0,(1-N($C181))+(1-N($D181))+(1-N($E181))+N($F181)+N($G181)+N($H181)+N($I181)))</f>
        <v/>
      </c>
    </row>
    <row r="182" customFormat="false" ht="15" hidden="false" customHeight="false" outlineLevel="0" collapsed="false">
      <c r="A182" s="17" t="str">
        <f aca="false">IF(Data!A182="","",Data!A182)</f>
        <v/>
      </c>
      <c r="B182" s="17" t="str">
        <f aca="false">IF($A182="","",IF(Data!G182="Active",1,0))</f>
        <v/>
      </c>
      <c r="C182" s="17" t="str">
        <f aca="false">IF($B182&lt;&gt;1,"",IF(COUNTBLANK(Data!B182:H182)=0,1,0))</f>
        <v/>
      </c>
      <c r="D182" s="17" t="str">
        <f aca="false">IF($B182&lt;&gt;1,"",IF(LEFT(Data!E182,4)="OWN-",1,0))</f>
        <v/>
      </c>
      <c r="E182" s="17" t="str">
        <f aca="false">IF($B182&lt;&gt;1,"",IF(LEFT(Data!F182,4)="OWN-",1,0))</f>
        <v/>
      </c>
      <c r="F182" s="17" t="str">
        <f aca="false">IF($B182&lt;&gt;1,"",IF(OR(Data!I182="",(Settings!$B$2-Data!I182)&gt;Settings!$B$3),1,0))</f>
        <v/>
      </c>
      <c r="G182" s="17" t="str">
        <f aca="false">IF($B182&lt;&gt;1,"",IF(SUMPRODUCT(--($B$2:$B$201=1),--(LEFT(Data!$B$2:$B$201,8)=LEFT(Data!B182,8)))&gt;1,1,0))</f>
        <v/>
      </c>
      <c r="H182" s="17" t="str">
        <f aca="false">IF($B182&lt;&gt;1,"",IF(Data!D182="",1,0))</f>
        <v/>
      </c>
      <c r="I182" s="17" t="str">
        <f aca="false">IF($A182="","",IF(AND(Data!J182&lt;&gt;"",ISNUMBER(Data!J182),Data!J182&lt;Settings!$B$2,Data!G182="Active"),1,0))</f>
        <v/>
      </c>
      <c r="J182" s="17" t="str">
        <f aca="false">IF($A182="","",IF($B182&lt;&gt;1,0,(1-N($C182))+(1-N($D182))+(1-N($E182))+N($F182)+N($G182)+N($H182)+N($I182)))</f>
        <v/>
      </c>
    </row>
    <row r="183" customFormat="false" ht="15" hidden="false" customHeight="false" outlineLevel="0" collapsed="false">
      <c r="A183" s="18" t="str">
        <f aca="false">IF(Data!A183="","",Data!A183)</f>
        <v/>
      </c>
      <c r="B183" s="18" t="str">
        <f aca="false">IF($A183="","",IF(Data!G183="Active",1,0))</f>
        <v/>
      </c>
      <c r="C183" s="18" t="str">
        <f aca="false">IF($B183&lt;&gt;1,"",IF(COUNTBLANK(Data!B183:H183)=0,1,0))</f>
        <v/>
      </c>
      <c r="D183" s="18" t="str">
        <f aca="false">IF($B183&lt;&gt;1,"",IF(LEFT(Data!E183,4)="OWN-",1,0))</f>
        <v/>
      </c>
      <c r="E183" s="18" t="str">
        <f aca="false">IF($B183&lt;&gt;1,"",IF(LEFT(Data!F183,4)="OWN-",1,0))</f>
        <v/>
      </c>
      <c r="F183" s="18" t="str">
        <f aca="false">IF($B183&lt;&gt;1,"",IF(OR(Data!I183="",(Settings!$B$2-Data!I183)&gt;Settings!$B$3),1,0))</f>
        <v/>
      </c>
      <c r="G183" s="18" t="str">
        <f aca="false">IF($B183&lt;&gt;1,"",IF(SUMPRODUCT(--($B$2:$B$201=1),--(LEFT(Data!$B$2:$B$201,8)=LEFT(Data!B183,8)))&gt;1,1,0))</f>
        <v/>
      </c>
      <c r="H183" s="18" t="str">
        <f aca="false">IF($B183&lt;&gt;1,"",IF(Data!D183="",1,0))</f>
        <v/>
      </c>
      <c r="I183" s="18" t="str">
        <f aca="false">IF($A183="","",IF(AND(Data!J183&lt;&gt;"",ISNUMBER(Data!J183),Data!J183&lt;Settings!$B$2,Data!G183="Active"),1,0))</f>
        <v/>
      </c>
      <c r="J183" s="18" t="str">
        <f aca="false">IF($A183="","",IF($B183&lt;&gt;1,0,(1-N($C183))+(1-N($D183))+(1-N($E183))+N($F183)+N($G183)+N($H183)+N($I183)))</f>
        <v/>
      </c>
    </row>
    <row r="184" customFormat="false" ht="15" hidden="false" customHeight="false" outlineLevel="0" collapsed="false">
      <c r="A184" s="17" t="str">
        <f aca="false">IF(Data!A184="","",Data!A184)</f>
        <v/>
      </c>
      <c r="B184" s="17" t="str">
        <f aca="false">IF($A184="","",IF(Data!G184="Active",1,0))</f>
        <v/>
      </c>
      <c r="C184" s="17" t="str">
        <f aca="false">IF($B184&lt;&gt;1,"",IF(COUNTBLANK(Data!B184:H184)=0,1,0))</f>
        <v/>
      </c>
      <c r="D184" s="17" t="str">
        <f aca="false">IF($B184&lt;&gt;1,"",IF(LEFT(Data!E184,4)="OWN-",1,0))</f>
        <v/>
      </c>
      <c r="E184" s="17" t="str">
        <f aca="false">IF($B184&lt;&gt;1,"",IF(LEFT(Data!F184,4)="OWN-",1,0))</f>
        <v/>
      </c>
      <c r="F184" s="17" t="str">
        <f aca="false">IF($B184&lt;&gt;1,"",IF(OR(Data!I184="",(Settings!$B$2-Data!I184)&gt;Settings!$B$3),1,0))</f>
        <v/>
      </c>
      <c r="G184" s="17" t="str">
        <f aca="false">IF($B184&lt;&gt;1,"",IF(SUMPRODUCT(--($B$2:$B$201=1),--(LEFT(Data!$B$2:$B$201,8)=LEFT(Data!B184,8)))&gt;1,1,0))</f>
        <v/>
      </c>
      <c r="H184" s="17" t="str">
        <f aca="false">IF($B184&lt;&gt;1,"",IF(Data!D184="",1,0))</f>
        <v/>
      </c>
      <c r="I184" s="17" t="str">
        <f aca="false">IF($A184="","",IF(AND(Data!J184&lt;&gt;"",ISNUMBER(Data!J184),Data!J184&lt;Settings!$B$2,Data!G184="Active"),1,0))</f>
        <v/>
      </c>
      <c r="J184" s="17" t="str">
        <f aca="false">IF($A184="","",IF($B184&lt;&gt;1,0,(1-N($C184))+(1-N($D184))+(1-N($E184))+N($F184)+N($G184)+N($H184)+N($I184)))</f>
        <v/>
      </c>
    </row>
    <row r="185" customFormat="false" ht="15" hidden="false" customHeight="false" outlineLevel="0" collapsed="false">
      <c r="A185" s="18" t="str">
        <f aca="false">IF(Data!A185="","",Data!A185)</f>
        <v/>
      </c>
      <c r="B185" s="18" t="str">
        <f aca="false">IF($A185="","",IF(Data!G185="Active",1,0))</f>
        <v/>
      </c>
      <c r="C185" s="18" t="str">
        <f aca="false">IF($B185&lt;&gt;1,"",IF(COUNTBLANK(Data!B185:H185)=0,1,0))</f>
        <v/>
      </c>
      <c r="D185" s="18" t="str">
        <f aca="false">IF($B185&lt;&gt;1,"",IF(LEFT(Data!E185,4)="OWN-",1,0))</f>
        <v/>
      </c>
      <c r="E185" s="18" t="str">
        <f aca="false">IF($B185&lt;&gt;1,"",IF(LEFT(Data!F185,4)="OWN-",1,0))</f>
        <v/>
      </c>
      <c r="F185" s="18" t="str">
        <f aca="false">IF($B185&lt;&gt;1,"",IF(OR(Data!I185="",(Settings!$B$2-Data!I185)&gt;Settings!$B$3),1,0))</f>
        <v/>
      </c>
      <c r="G185" s="18" t="str">
        <f aca="false">IF($B185&lt;&gt;1,"",IF(SUMPRODUCT(--($B$2:$B$201=1),--(LEFT(Data!$B$2:$B$201,8)=LEFT(Data!B185,8)))&gt;1,1,0))</f>
        <v/>
      </c>
      <c r="H185" s="18" t="str">
        <f aca="false">IF($B185&lt;&gt;1,"",IF(Data!D185="",1,0))</f>
        <v/>
      </c>
      <c r="I185" s="18" t="str">
        <f aca="false">IF($A185="","",IF(AND(Data!J185&lt;&gt;"",ISNUMBER(Data!J185),Data!J185&lt;Settings!$B$2,Data!G185="Active"),1,0))</f>
        <v/>
      </c>
      <c r="J185" s="18" t="str">
        <f aca="false">IF($A185="","",IF($B185&lt;&gt;1,0,(1-N($C185))+(1-N($D185))+(1-N($E185))+N($F185)+N($G185)+N($H185)+N($I185)))</f>
        <v/>
      </c>
    </row>
    <row r="186" customFormat="false" ht="15" hidden="false" customHeight="false" outlineLevel="0" collapsed="false">
      <c r="A186" s="17" t="str">
        <f aca="false">IF(Data!A186="","",Data!A186)</f>
        <v/>
      </c>
      <c r="B186" s="17" t="str">
        <f aca="false">IF($A186="","",IF(Data!G186="Active",1,0))</f>
        <v/>
      </c>
      <c r="C186" s="17" t="str">
        <f aca="false">IF($B186&lt;&gt;1,"",IF(COUNTBLANK(Data!B186:H186)=0,1,0))</f>
        <v/>
      </c>
      <c r="D186" s="17" t="str">
        <f aca="false">IF($B186&lt;&gt;1,"",IF(LEFT(Data!E186,4)="OWN-",1,0))</f>
        <v/>
      </c>
      <c r="E186" s="17" t="str">
        <f aca="false">IF($B186&lt;&gt;1,"",IF(LEFT(Data!F186,4)="OWN-",1,0))</f>
        <v/>
      </c>
      <c r="F186" s="17" t="str">
        <f aca="false">IF($B186&lt;&gt;1,"",IF(OR(Data!I186="",(Settings!$B$2-Data!I186)&gt;Settings!$B$3),1,0))</f>
        <v/>
      </c>
      <c r="G186" s="17" t="str">
        <f aca="false">IF($B186&lt;&gt;1,"",IF(SUMPRODUCT(--($B$2:$B$201=1),--(LEFT(Data!$B$2:$B$201,8)=LEFT(Data!B186,8)))&gt;1,1,0))</f>
        <v/>
      </c>
      <c r="H186" s="17" t="str">
        <f aca="false">IF($B186&lt;&gt;1,"",IF(Data!D186="",1,0))</f>
        <v/>
      </c>
      <c r="I186" s="17" t="str">
        <f aca="false">IF($A186="","",IF(AND(Data!J186&lt;&gt;"",ISNUMBER(Data!J186),Data!J186&lt;Settings!$B$2,Data!G186="Active"),1,0))</f>
        <v/>
      </c>
      <c r="J186" s="17" t="str">
        <f aca="false">IF($A186="","",IF($B186&lt;&gt;1,0,(1-N($C186))+(1-N($D186))+(1-N($E186))+N($F186)+N($G186)+N($H186)+N($I186)))</f>
        <v/>
      </c>
    </row>
    <row r="187" customFormat="false" ht="15" hidden="false" customHeight="false" outlineLevel="0" collapsed="false">
      <c r="A187" s="18" t="str">
        <f aca="false">IF(Data!A187="","",Data!A187)</f>
        <v/>
      </c>
      <c r="B187" s="18" t="str">
        <f aca="false">IF($A187="","",IF(Data!G187="Active",1,0))</f>
        <v/>
      </c>
      <c r="C187" s="18" t="str">
        <f aca="false">IF($B187&lt;&gt;1,"",IF(COUNTBLANK(Data!B187:H187)=0,1,0))</f>
        <v/>
      </c>
      <c r="D187" s="18" t="str">
        <f aca="false">IF($B187&lt;&gt;1,"",IF(LEFT(Data!E187,4)="OWN-",1,0))</f>
        <v/>
      </c>
      <c r="E187" s="18" t="str">
        <f aca="false">IF($B187&lt;&gt;1,"",IF(LEFT(Data!F187,4)="OWN-",1,0))</f>
        <v/>
      </c>
      <c r="F187" s="18" t="str">
        <f aca="false">IF($B187&lt;&gt;1,"",IF(OR(Data!I187="",(Settings!$B$2-Data!I187)&gt;Settings!$B$3),1,0))</f>
        <v/>
      </c>
      <c r="G187" s="18" t="str">
        <f aca="false">IF($B187&lt;&gt;1,"",IF(SUMPRODUCT(--($B$2:$B$201=1),--(LEFT(Data!$B$2:$B$201,8)=LEFT(Data!B187,8)))&gt;1,1,0))</f>
        <v/>
      </c>
      <c r="H187" s="18" t="str">
        <f aca="false">IF($B187&lt;&gt;1,"",IF(Data!D187="",1,0))</f>
        <v/>
      </c>
      <c r="I187" s="18" t="str">
        <f aca="false">IF($A187="","",IF(AND(Data!J187&lt;&gt;"",ISNUMBER(Data!J187),Data!J187&lt;Settings!$B$2,Data!G187="Active"),1,0))</f>
        <v/>
      </c>
      <c r="J187" s="18" t="str">
        <f aca="false">IF($A187="","",IF($B187&lt;&gt;1,0,(1-N($C187))+(1-N($D187))+(1-N($E187))+N($F187)+N($G187)+N($H187)+N($I187)))</f>
        <v/>
      </c>
    </row>
    <row r="188" customFormat="false" ht="15" hidden="false" customHeight="false" outlineLevel="0" collapsed="false">
      <c r="A188" s="17" t="str">
        <f aca="false">IF(Data!A188="","",Data!A188)</f>
        <v/>
      </c>
      <c r="B188" s="17" t="str">
        <f aca="false">IF($A188="","",IF(Data!G188="Active",1,0))</f>
        <v/>
      </c>
      <c r="C188" s="17" t="str">
        <f aca="false">IF($B188&lt;&gt;1,"",IF(COUNTBLANK(Data!B188:H188)=0,1,0))</f>
        <v/>
      </c>
      <c r="D188" s="17" t="str">
        <f aca="false">IF($B188&lt;&gt;1,"",IF(LEFT(Data!E188,4)="OWN-",1,0))</f>
        <v/>
      </c>
      <c r="E188" s="17" t="str">
        <f aca="false">IF($B188&lt;&gt;1,"",IF(LEFT(Data!F188,4)="OWN-",1,0))</f>
        <v/>
      </c>
      <c r="F188" s="17" t="str">
        <f aca="false">IF($B188&lt;&gt;1,"",IF(OR(Data!I188="",(Settings!$B$2-Data!I188)&gt;Settings!$B$3),1,0))</f>
        <v/>
      </c>
      <c r="G188" s="17" t="str">
        <f aca="false">IF($B188&lt;&gt;1,"",IF(SUMPRODUCT(--($B$2:$B$201=1),--(LEFT(Data!$B$2:$B$201,8)=LEFT(Data!B188,8)))&gt;1,1,0))</f>
        <v/>
      </c>
      <c r="H188" s="17" t="str">
        <f aca="false">IF($B188&lt;&gt;1,"",IF(Data!D188="",1,0))</f>
        <v/>
      </c>
      <c r="I188" s="17" t="str">
        <f aca="false">IF($A188="","",IF(AND(Data!J188&lt;&gt;"",ISNUMBER(Data!J188),Data!J188&lt;Settings!$B$2,Data!G188="Active"),1,0))</f>
        <v/>
      </c>
      <c r="J188" s="17" t="str">
        <f aca="false">IF($A188="","",IF($B188&lt;&gt;1,0,(1-N($C188))+(1-N($D188))+(1-N($E188))+N($F188)+N($G188)+N($H188)+N($I188)))</f>
        <v/>
      </c>
    </row>
    <row r="189" customFormat="false" ht="15" hidden="false" customHeight="false" outlineLevel="0" collapsed="false">
      <c r="A189" s="18" t="str">
        <f aca="false">IF(Data!A189="","",Data!A189)</f>
        <v/>
      </c>
      <c r="B189" s="18" t="str">
        <f aca="false">IF($A189="","",IF(Data!G189="Active",1,0))</f>
        <v/>
      </c>
      <c r="C189" s="18" t="str">
        <f aca="false">IF($B189&lt;&gt;1,"",IF(COUNTBLANK(Data!B189:H189)=0,1,0))</f>
        <v/>
      </c>
      <c r="D189" s="18" t="str">
        <f aca="false">IF($B189&lt;&gt;1,"",IF(LEFT(Data!E189,4)="OWN-",1,0))</f>
        <v/>
      </c>
      <c r="E189" s="18" t="str">
        <f aca="false">IF($B189&lt;&gt;1,"",IF(LEFT(Data!F189,4)="OWN-",1,0))</f>
        <v/>
      </c>
      <c r="F189" s="18" t="str">
        <f aca="false">IF($B189&lt;&gt;1,"",IF(OR(Data!I189="",(Settings!$B$2-Data!I189)&gt;Settings!$B$3),1,0))</f>
        <v/>
      </c>
      <c r="G189" s="18" t="str">
        <f aca="false">IF($B189&lt;&gt;1,"",IF(SUMPRODUCT(--($B$2:$B$201=1),--(LEFT(Data!$B$2:$B$201,8)=LEFT(Data!B189,8)))&gt;1,1,0))</f>
        <v/>
      </c>
      <c r="H189" s="18" t="str">
        <f aca="false">IF($B189&lt;&gt;1,"",IF(Data!D189="",1,0))</f>
        <v/>
      </c>
      <c r="I189" s="18" t="str">
        <f aca="false">IF($A189="","",IF(AND(Data!J189&lt;&gt;"",ISNUMBER(Data!J189),Data!J189&lt;Settings!$B$2,Data!G189="Active"),1,0))</f>
        <v/>
      </c>
      <c r="J189" s="18" t="str">
        <f aca="false">IF($A189="","",IF($B189&lt;&gt;1,0,(1-N($C189))+(1-N($D189))+(1-N($E189))+N($F189)+N($G189)+N($H189)+N($I189)))</f>
        <v/>
      </c>
    </row>
    <row r="190" customFormat="false" ht="15" hidden="false" customHeight="false" outlineLevel="0" collapsed="false">
      <c r="A190" s="17" t="str">
        <f aca="false">IF(Data!A190="","",Data!A190)</f>
        <v/>
      </c>
      <c r="B190" s="17" t="str">
        <f aca="false">IF($A190="","",IF(Data!G190="Active",1,0))</f>
        <v/>
      </c>
      <c r="C190" s="17" t="str">
        <f aca="false">IF($B190&lt;&gt;1,"",IF(COUNTBLANK(Data!B190:H190)=0,1,0))</f>
        <v/>
      </c>
      <c r="D190" s="17" t="str">
        <f aca="false">IF($B190&lt;&gt;1,"",IF(LEFT(Data!E190,4)="OWN-",1,0))</f>
        <v/>
      </c>
      <c r="E190" s="17" t="str">
        <f aca="false">IF($B190&lt;&gt;1,"",IF(LEFT(Data!F190,4)="OWN-",1,0))</f>
        <v/>
      </c>
      <c r="F190" s="17" t="str">
        <f aca="false">IF($B190&lt;&gt;1,"",IF(OR(Data!I190="",(Settings!$B$2-Data!I190)&gt;Settings!$B$3),1,0))</f>
        <v/>
      </c>
      <c r="G190" s="17" t="str">
        <f aca="false">IF($B190&lt;&gt;1,"",IF(SUMPRODUCT(--($B$2:$B$201=1),--(LEFT(Data!$B$2:$B$201,8)=LEFT(Data!B190,8)))&gt;1,1,0))</f>
        <v/>
      </c>
      <c r="H190" s="17" t="str">
        <f aca="false">IF($B190&lt;&gt;1,"",IF(Data!D190="",1,0))</f>
        <v/>
      </c>
      <c r="I190" s="17" t="str">
        <f aca="false">IF($A190="","",IF(AND(Data!J190&lt;&gt;"",ISNUMBER(Data!J190),Data!J190&lt;Settings!$B$2,Data!G190="Active"),1,0))</f>
        <v/>
      </c>
      <c r="J190" s="17" t="str">
        <f aca="false">IF($A190="","",IF($B190&lt;&gt;1,0,(1-N($C190))+(1-N($D190))+(1-N($E190))+N($F190)+N($G190)+N($H190)+N($I190)))</f>
        <v/>
      </c>
    </row>
    <row r="191" customFormat="false" ht="15" hidden="false" customHeight="false" outlineLevel="0" collapsed="false">
      <c r="A191" s="18" t="str">
        <f aca="false">IF(Data!A191="","",Data!A191)</f>
        <v/>
      </c>
      <c r="B191" s="18" t="str">
        <f aca="false">IF($A191="","",IF(Data!G191="Active",1,0))</f>
        <v/>
      </c>
      <c r="C191" s="18" t="str">
        <f aca="false">IF($B191&lt;&gt;1,"",IF(COUNTBLANK(Data!B191:H191)=0,1,0))</f>
        <v/>
      </c>
      <c r="D191" s="18" t="str">
        <f aca="false">IF($B191&lt;&gt;1,"",IF(LEFT(Data!E191,4)="OWN-",1,0))</f>
        <v/>
      </c>
      <c r="E191" s="18" t="str">
        <f aca="false">IF($B191&lt;&gt;1,"",IF(LEFT(Data!F191,4)="OWN-",1,0))</f>
        <v/>
      </c>
      <c r="F191" s="18" t="str">
        <f aca="false">IF($B191&lt;&gt;1,"",IF(OR(Data!I191="",(Settings!$B$2-Data!I191)&gt;Settings!$B$3),1,0))</f>
        <v/>
      </c>
      <c r="G191" s="18" t="str">
        <f aca="false">IF($B191&lt;&gt;1,"",IF(SUMPRODUCT(--($B$2:$B$201=1),--(LEFT(Data!$B$2:$B$201,8)=LEFT(Data!B191,8)))&gt;1,1,0))</f>
        <v/>
      </c>
      <c r="H191" s="18" t="str">
        <f aca="false">IF($B191&lt;&gt;1,"",IF(Data!D191="",1,0))</f>
        <v/>
      </c>
      <c r="I191" s="18" t="str">
        <f aca="false">IF($A191="","",IF(AND(Data!J191&lt;&gt;"",ISNUMBER(Data!J191),Data!J191&lt;Settings!$B$2,Data!G191="Active"),1,0))</f>
        <v/>
      </c>
      <c r="J191" s="18" t="str">
        <f aca="false">IF($A191="","",IF($B191&lt;&gt;1,0,(1-N($C191))+(1-N($D191))+(1-N($E191))+N($F191)+N($G191)+N($H191)+N($I191)))</f>
        <v/>
      </c>
    </row>
    <row r="192" customFormat="false" ht="15" hidden="false" customHeight="false" outlineLevel="0" collapsed="false">
      <c r="A192" s="17" t="str">
        <f aca="false">IF(Data!A192="","",Data!A192)</f>
        <v/>
      </c>
      <c r="B192" s="17" t="str">
        <f aca="false">IF($A192="","",IF(Data!G192="Active",1,0))</f>
        <v/>
      </c>
      <c r="C192" s="17" t="str">
        <f aca="false">IF($B192&lt;&gt;1,"",IF(COUNTBLANK(Data!B192:H192)=0,1,0))</f>
        <v/>
      </c>
      <c r="D192" s="17" t="str">
        <f aca="false">IF($B192&lt;&gt;1,"",IF(LEFT(Data!E192,4)="OWN-",1,0))</f>
        <v/>
      </c>
      <c r="E192" s="17" t="str">
        <f aca="false">IF($B192&lt;&gt;1,"",IF(LEFT(Data!F192,4)="OWN-",1,0))</f>
        <v/>
      </c>
      <c r="F192" s="17" t="str">
        <f aca="false">IF($B192&lt;&gt;1,"",IF(OR(Data!I192="",(Settings!$B$2-Data!I192)&gt;Settings!$B$3),1,0))</f>
        <v/>
      </c>
      <c r="G192" s="17" t="str">
        <f aca="false">IF($B192&lt;&gt;1,"",IF(SUMPRODUCT(--($B$2:$B$201=1),--(LEFT(Data!$B$2:$B$201,8)=LEFT(Data!B192,8)))&gt;1,1,0))</f>
        <v/>
      </c>
      <c r="H192" s="17" t="str">
        <f aca="false">IF($B192&lt;&gt;1,"",IF(Data!D192="",1,0))</f>
        <v/>
      </c>
      <c r="I192" s="17" t="str">
        <f aca="false">IF($A192="","",IF(AND(Data!J192&lt;&gt;"",ISNUMBER(Data!J192),Data!J192&lt;Settings!$B$2,Data!G192="Active"),1,0))</f>
        <v/>
      </c>
      <c r="J192" s="17" t="str">
        <f aca="false">IF($A192="","",IF($B192&lt;&gt;1,0,(1-N($C192))+(1-N($D192))+(1-N($E192))+N($F192)+N($G192)+N($H192)+N($I192)))</f>
        <v/>
      </c>
    </row>
    <row r="193" customFormat="false" ht="15" hidden="false" customHeight="false" outlineLevel="0" collapsed="false">
      <c r="A193" s="18" t="str">
        <f aca="false">IF(Data!A193="","",Data!A193)</f>
        <v/>
      </c>
      <c r="B193" s="18" t="str">
        <f aca="false">IF($A193="","",IF(Data!G193="Active",1,0))</f>
        <v/>
      </c>
      <c r="C193" s="18" t="str">
        <f aca="false">IF($B193&lt;&gt;1,"",IF(COUNTBLANK(Data!B193:H193)=0,1,0))</f>
        <v/>
      </c>
      <c r="D193" s="18" t="str">
        <f aca="false">IF($B193&lt;&gt;1,"",IF(LEFT(Data!E193,4)="OWN-",1,0))</f>
        <v/>
      </c>
      <c r="E193" s="18" t="str">
        <f aca="false">IF($B193&lt;&gt;1,"",IF(LEFT(Data!F193,4)="OWN-",1,0))</f>
        <v/>
      </c>
      <c r="F193" s="18" t="str">
        <f aca="false">IF($B193&lt;&gt;1,"",IF(OR(Data!I193="",(Settings!$B$2-Data!I193)&gt;Settings!$B$3),1,0))</f>
        <v/>
      </c>
      <c r="G193" s="18" t="str">
        <f aca="false">IF($B193&lt;&gt;1,"",IF(SUMPRODUCT(--($B$2:$B$201=1),--(LEFT(Data!$B$2:$B$201,8)=LEFT(Data!B193,8)))&gt;1,1,0))</f>
        <v/>
      </c>
      <c r="H193" s="18" t="str">
        <f aca="false">IF($B193&lt;&gt;1,"",IF(Data!D193="",1,0))</f>
        <v/>
      </c>
      <c r="I193" s="18" t="str">
        <f aca="false">IF($A193="","",IF(AND(Data!J193&lt;&gt;"",ISNUMBER(Data!J193),Data!J193&lt;Settings!$B$2,Data!G193="Active"),1,0))</f>
        <v/>
      </c>
      <c r="J193" s="18" t="str">
        <f aca="false">IF($A193="","",IF($B193&lt;&gt;1,0,(1-N($C193))+(1-N($D193))+(1-N($E193))+N($F193)+N($G193)+N($H193)+N($I193)))</f>
        <v/>
      </c>
    </row>
    <row r="194" customFormat="false" ht="15" hidden="false" customHeight="false" outlineLevel="0" collapsed="false">
      <c r="A194" s="17" t="str">
        <f aca="false">IF(Data!A194="","",Data!A194)</f>
        <v/>
      </c>
      <c r="B194" s="17" t="str">
        <f aca="false">IF($A194="","",IF(Data!G194="Active",1,0))</f>
        <v/>
      </c>
      <c r="C194" s="17" t="str">
        <f aca="false">IF($B194&lt;&gt;1,"",IF(COUNTBLANK(Data!B194:H194)=0,1,0))</f>
        <v/>
      </c>
      <c r="D194" s="17" t="str">
        <f aca="false">IF($B194&lt;&gt;1,"",IF(LEFT(Data!E194,4)="OWN-",1,0))</f>
        <v/>
      </c>
      <c r="E194" s="17" t="str">
        <f aca="false">IF($B194&lt;&gt;1,"",IF(LEFT(Data!F194,4)="OWN-",1,0))</f>
        <v/>
      </c>
      <c r="F194" s="17" t="str">
        <f aca="false">IF($B194&lt;&gt;1,"",IF(OR(Data!I194="",(Settings!$B$2-Data!I194)&gt;Settings!$B$3),1,0))</f>
        <v/>
      </c>
      <c r="G194" s="17" t="str">
        <f aca="false">IF($B194&lt;&gt;1,"",IF(SUMPRODUCT(--($B$2:$B$201=1),--(LEFT(Data!$B$2:$B$201,8)=LEFT(Data!B194,8)))&gt;1,1,0))</f>
        <v/>
      </c>
      <c r="H194" s="17" t="str">
        <f aca="false">IF($B194&lt;&gt;1,"",IF(Data!D194="",1,0))</f>
        <v/>
      </c>
      <c r="I194" s="17" t="str">
        <f aca="false">IF($A194="","",IF(AND(Data!J194&lt;&gt;"",ISNUMBER(Data!J194),Data!J194&lt;Settings!$B$2,Data!G194="Active"),1,0))</f>
        <v/>
      </c>
      <c r="J194" s="17" t="str">
        <f aca="false">IF($A194="","",IF($B194&lt;&gt;1,0,(1-N($C194))+(1-N($D194))+(1-N($E194))+N($F194)+N($G194)+N($H194)+N($I194)))</f>
        <v/>
      </c>
    </row>
    <row r="195" customFormat="false" ht="15" hidden="false" customHeight="false" outlineLevel="0" collapsed="false">
      <c r="A195" s="18" t="str">
        <f aca="false">IF(Data!A195="","",Data!A195)</f>
        <v/>
      </c>
      <c r="B195" s="18" t="str">
        <f aca="false">IF($A195="","",IF(Data!G195="Active",1,0))</f>
        <v/>
      </c>
      <c r="C195" s="18" t="str">
        <f aca="false">IF($B195&lt;&gt;1,"",IF(COUNTBLANK(Data!B195:H195)=0,1,0))</f>
        <v/>
      </c>
      <c r="D195" s="18" t="str">
        <f aca="false">IF($B195&lt;&gt;1,"",IF(LEFT(Data!E195,4)="OWN-",1,0))</f>
        <v/>
      </c>
      <c r="E195" s="18" t="str">
        <f aca="false">IF($B195&lt;&gt;1,"",IF(LEFT(Data!F195,4)="OWN-",1,0))</f>
        <v/>
      </c>
      <c r="F195" s="18" t="str">
        <f aca="false">IF($B195&lt;&gt;1,"",IF(OR(Data!I195="",(Settings!$B$2-Data!I195)&gt;Settings!$B$3),1,0))</f>
        <v/>
      </c>
      <c r="G195" s="18" t="str">
        <f aca="false">IF($B195&lt;&gt;1,"",IF(SUMPRODUCT(--($B$2:$B$201=1),--(LEFT(Data!$B$2:$B$201,8)=LEFT(Data!B195,8)))&gt;1,1,0))</f>
        <v/>
      </c>
      <c r="H195" s="18" t="str">
        <f aca="false">IF($B195&lt;&gt;1,"",IF(Data!D195="",1,0))</f>
        <v/>
      </c>
      <c r="I195" s="18" t="str">
        <f aca="false">IF($A195="","",IF(AND(Data!J195&lt;&gt;"",ISNUMBER(Data!J195),Data!J195&lt;Settings!$B$2,Data!G195="Active"),1,0))</f>
        <v/>
      </c>
      <c r="J195" s="18" t="str">
        <f aca="false">IF($A195="","",IF($B195&lt;&gt;1,0,(1-N($C195))+(1-N($D195))+(1-N($E195))+N($F195)+N($G195)+N($H195)+N($I195)))</f>
        <v/>
      </c>
    </row>
    <row r="196" customFormat="false" ht="15" hidden="false" customHeight="false" outlineLevel="0" collapsed="false">
      <c r="A196" s="17" t="str">
        <f aca="false">IF(Data!A196="","",Data!A196)</f>
        <v/>
      </c>
      <c r="B196" s="17" t="str">
        <f aca="false">IF($A196="","",IF(Data!G196="Active",1,0))</f>
        <v/>
      </c>
      <c r="C196" s="17" t="str">
        <f aca="false">IF($B196&lt;&gt;1,"",IF(COUNTBLANK(Data!B196:H196)=0,1,0))</f>
        <v/>
      </c>
      <c r="D196" s="17" t="str">
        <f aca="false">IF($B196&lt;&gt;1,"",IF(LEFT(Data!E196,4)="OWN-",1,0))</f>
        <v/>
      </c>
      <c r="E196" s="17" t="str">
        <f aca="false">IF($B196&lt;&gt;1,"",IF(LEFT(Data!F196,4)="OWN-",1,0))</f>
        <v/>
      </c>
      <c r="F196" s="17" t="str">
        <f aca="false">IF($B196&lt;&gt;1,"",IF(OR(Data!I196="",(Settings!$B$2-Data!I196)&gt;Settings!$B$3),1,0))</f>
        <v/>
      </c>
      <c r="G196" s="17" t="str">
        <f aca="false">IF($B196&lt;&gt;1,"",IF(SUMPRODUCT(--($B$2:$B$201=1),--(LEFT(Data!$B$2:$B$201,8)=LEFT(Data!B196,8)))&gt;1,1,0))</f>
        <v/>
      </c>
      <c r="H196" s="17" t="str">
        <f aca="false">IF($B196&lt;&gt;1,"",IF(Data!D196="",1,0))</f>
        <v/>
      </c>
      <c r="I196" s="17" t="str">
        <f aca="false">IF($A196="","",IF(AND(Data!J196&lt;&gt;"",ISNUMBER(Data!J196),Data!J196&lt;Settings!$B$2,Data!G196="Active"),1,0))</f>
        <v/>
      </c>
      <c r="J196" s="17" t="str">
        <f aca="false">IF($A196="","",IF($B196&lt;&gt;1,0,(1-N($C196))+(1-N($D196))+(1-N($E196))+N($F196)+N($G196)+N($H196)+N($I196)))</f>
        <v/>
      </c>
    </row>
    <row r="197" customFormat="false" ht="15" hidden="false" customHeight="false" outlineLevel="0" collapsed="false">
      <c r="A197" s="18" t="str">
        <f aca="false">IF(Data!A197="","",Data!A197)</f>
        <v/>
      </c>
      <c r="B197" s="18" t="str">
        <f aca="false">IF($A197="","",IF(Data!G197="Active",1,0))</f>
        <v/>
      </c>
      <c r="C197" s="18" t="str">
        <f aca="false">IF($B197&lt;&gt;1,"",IF(COUNTBLANK(Data!B197:H197)=0,1,0))</f>
        <v/>
      </c>
      <c r="D197" s="18" t="str">
        <f aca="false">IF($B197&lt;&gt;1,"",IF(LEFT(Data!E197,4)="OWN-",1,0))</f>
        <v/>
      </c>
      <c r="E197" s="18" t="str">
        <f aca="false">IF($B197&lt;&gt;1,"",IF(LEFT(Data!F197,4)="OWN-",1,0))</f>
        <v/>
      </c>
      <c r="F197" s="18" t="str">
        <f aca="false">IF($B197&lt;&gt;1,"",IF(OR(Data!I197="",(Settings!$B$2-Data!I197)&gt;Settings!$B$3),1,0))</f>
        <v/>
      </c>
      <c r="G197" s="18" t="str">
        <f aca="false">IF($B197&lt;&gt;1,"",IF(SUMPRODUCT(--($B$2:$B$201=1),--(LEFT(Data!$B$2:$B$201,8)=LEFT(Data!B197,8)))&gt;1,1,0))</f>
        <v/>
      </c>
      <c r="H197" s="18" t="str">
        <f aca="false">IF($B197&lt;&gt;1,"",IF(Data!D197="",1,0))</f>
        <v/>
      </c>
      <c r="I197" s="18" t="str">
        <f aca="false">IF($A197="","",IF(AND(Data!J197&lt;&gt;"",ISNUMBER(Data!J197),Data!J197&lt;Settings!$B$2,Data!G197="Active"),1,0))</f>
        <v/>
      </c>
      <c r="J197" s="18" t="str">
        <f aca="false">IF($A197="","",IF($B197&lt;&gt;1,0,(1-N($C197))+(1-N($D197))+(1-N($E197))+N($F197)+N($G197)+N($H197)+N($I197)))</f>
        <v/>
      </c>
    </row>
    <row r="198" customFormat="false" ht="15" hidden="false" customHeight="false" outlineLevel="0" collapsed="false">
      <c r="A198" s="17" t="str">
        <f aca="false">IF(Data!A198="","",Data!A198)</f>
        <v/>
      </c>
      <c r="B198" s="17" t="str">
        <f aca="false">IF($A198="","",IF(Data!G198="Active",1,0))</f>
        <v/>
      </c>
      <c r="C198" s="17" t="str">
        <f aca="false">IF($B198&lt;&gt;1,"",IF(COUNTBLANK(Data!B198:H198)=0,1,0))</f>
        <v/>
      </c>
      <c r="D198" s="17" t="str">
        <f aca="false">IF($B198&lt;&gt;1,"",IF(LEFT(Data!E198,4)="OWN-",1,0))</f>
        <v/>
      </c>
      <c r="E198" s="17" t="str">
        <f aca="false">IF($B198&lt;&gt;1,"",IF(LEFT(Data!F198,4)="OWN-",1,0))</f>
        <v/>
      </c>
      <c r="F198" s="17" t="str">
        <f aca="false">IF($B198&lt;&gt;1,"",IF(OR(Data!I198="",(Settings!$B$2-Data!I198)&gt;Settings!$B$3),1,0))</f>
        <v/>
      </c>
      <c r="G198" s="17" t="str">
        <f aca="false">IF($B198&lt;&gt;1,"",IF(SUMPRODUCT(--($B$2:$B$201=1),--(LEFT(Data!$B$2:$B$201,8)=LEFT(Data!B198,8)))&gt;1,1,0))</f>
        <v/>
      </c>
      <c r="H198" s="17" t="str">
        <f aca="false">IF($B198&lt;&gt;1,"",IF(Data!D198="",1,0))</f>
        <v/>
      </c>
      <c r="I198" s="17" t="str">
        <f aca="false">IF($A198="","",IF(AND(Data!J198&lt;&gt;"",ISNUMBER(Data!J198),Data!J198&lt;Settings!$B$2,Data!G198="Active"),1,0))</f>
        <v/>
      </c>
      <c r="J198" s="17" t="str">
        <f aca="false">IF($A198="","",IF($B198&lt;&gt;1,0,(1-N($C198))+(1-N($D198))+(1-N($E198))+N($F198)+N($G198)+N($H198)+N($I198)))</f>
        <v/>
      </c>
    </row>
    <row r="199" customFormat="false" ht="15" hidden="false" customHeight="false" outlineLevel="0" collapsed="false">
      <c r="A199" s="18" t="str">
        <f aca="false">IF(Data!A199="","",Data!A199)</f>
        <v/>
      </c>
      <c r="B199" s="18" t="str">
        <f aca="false">IF($A199="","",IF(Data!G199="Active",1,0))</f>
        <v/>
      </c>
      <c r="C199" s="18" t="str">
        <f aca="false">IF($B199&lt;&gt;1,"",IF(COUNTBLANK(Data!B199:H199)=0,1,0))</f>
        <v/>
      </c>
      <c r="D199" s="18" t="str">
        <f aca="false">IF($B199&lt;&gt;1,"",IF(LEFT(Data!E199,4)="OWN-",1,0))</f>
        <v/>
      </c>
      <c r="E199" s="18" t="str">
        <f aca="false">IF($B199&lt;&gt;1,"",IF(LEFT(Data!F199,4)="OWN-",1,0))</f>
        <v/>
      </c>
      <c r="F199" s="18" t="str">
        <f aca="false">IF($B199&lt;&gt;1,"",IF(OR(Data!I199="",(Settings!$B$2-Data!I199)&gt;Settings!$B$3),1,0))</f>
        <v/>
      </c>
      <c r="G199" s="18" t="str">
        <f aca="false">IF($B199&lt;&gt;1,"",IF(SUMPRODUCT(--($B$2:$B$201=1),--(LEFT(Data!$B$2:$B$201,8)=LEFT(Data!B199,8)))&gt;1,1,0))</f>
        <v/>
      </c>
      <c r="H199" s="18" t="str">
        <f aca="false">IF($B199&lt;&gt;1,"",IF(Data!D199="",1,0))</f>
        <v/>
      </c>
      <c r="I199" s="18" t="str">
        <f aca="false">IF($A199="","",IF(AND(Data!J199&lt;&gt;"",ISNUMBER(Data!J199),Data!J199&lt;Settings!$B$2,Data!G199="Active"),1,0))</f>
        <v/>
      </c>
      <c r="J199" s="18" t="str">
        <f aca="false">IF($A199="","",IF($B199&lt;&gt;1,0,(1-N($C199))+(1-N($D199))+(1-N($E199))+N($F199)+N($G199)+N($H199)+N($I199)))</f>
        <v/>
      </c>
    </row>
    <row r="200" customFormat="false" ht="15" hidden="false" customHeight="false" outlineLevel="0" collapsed="false">
      <c r="A200" s="17" t="str">
        <f aca="false">IF(Data!A200="","",Data!A200)</f>
        <v/>
      </c>
      <c r="B200" s="17" t="str">
        <f aca="false">IF($A200="","",IF(Data!G200="Active",1,0))</f>
        <v/>
      </c>
      <c r="C200" s="17" t="str">
        <f aca="false">IF($B200&lt;&gt;1,"",IF(COUNTBLANK(Data!B200:H200)=0,1,0))</f>
        <v/>
      </c>
      <c r="D200" s="17" t="str">
        <f aca="false">IF($B200&lt;&gt;1,"",IF(LEFT(Data!E200,4)="OWN-",1,0))</f>
        <v/>
      </c>
      <c r="E200" s="17" t="str">
        <f aca="false">IF($B200&lt;&gt;1,"",IF(LEFT(Data!F200,4)="OWN-",1,0))</f>
        <v/>
      </c>
      <c r="F200" s="17" t="str">
        <f aca="false">IF($B200&lt;&gt;1,"",IF(OR(Data!I200="",(Settings!$B$2-Data!I200)&gt;Settings!$B$3),1,0))</f>
        <v/>
      </c>
      <c r="G200" s="17" t="str">
        <f aca="false">IF($B200&lt;&gt;1,"",IF(SUMPRODUCT(--($B$2:$B$201=1),--(LEFT(Data!$B$2:$B$201,8)=LEFT(Data!B200,8)))&gt;1,1,0))</f>
        <v/>
      </c>
      <c r="H200" s="17" t="str">
        <f aca="false">IF($B200&lt;&gt;1,"",IF(Data!D200="",1,0))</f>
        <v/>
      </c>
      <c r="I200" s="17" t="str">
        <f aca="false">IF($A200="","",IF(AND(Data!J200&lt;&gt;"",ISNUMBER(Data!J200),Data!J200&lt;Settings!$B$2,Data!G200="Active"),1,0))</f>
        <v/>
      </c>
      <c r="J200" s="17" t="str">
        <f aca="false">IF($A200="","",IF($B200&lt;&gt;1,0,(1-N($C200))+(1-N($D200))+(1-N($E200))+N($F200)+N($G200)+N($H200)+N($I200)))</f>
        <v/>
      </c>
    </row>
    <row r="201" customFormat="false" ht="15" hidden="false" customHeight="false" outlineLevel="0" collapsed="false">
      <c r="A201" s="18" t="str">
        <f aca="false">IF(Data!A201="","",Data!A201)</f>
        <v/>
      </c>
      <c r="B201" s="18" t="str">
        <f aca="false">IF($A201="","",IF(Data!G201="Active",1,0))</f>
        <v/>
      </c>
      <c r="C201" s="18" t="str">
        <f aca="false">IF($B201&lt;&gt;1,"",IF(COUNTBLANK(Data!B201:H201)=0,1,0))</f>
        <v/>
      </c>
      <c r="D201" s="18" t="str">
        <f aca="false">IF($B201&lt;&gt;1,"",IF(LEFT(Data!E201,4)="OWN-",1,0))</f>
        <v/>
      </c>
      <c r="E201" s="18" t="str">
        <f aca="false">IF($B201&lt;&gt;1,"",IF(LEFT(Data!F201,4)="OWN-",1,0))</f>
        <v/>
      </c>
      <c r="F201" s="18" t="str">
        <f aca="false">IF($B201&lt;&gt;1,"",IF(OR(Data!I201="",(Settings!$B$2-Data!I201)&gt;Settings!$B$3),1,0))</f>
        <v/>
      </c>
      <c r="G201" s="18" t="str">
        <f aca="false">IF($B201&lt;&gt;1,"",IF(SUMPRODUCT(--($B$2:$B$201=1),--(LEFT(Data!$B$2:$B$201,8)=LEFT(Data!B201,8)))&gt;1,1,0))</f>
        <v/>
      </c>
      <c r="H201" s="18" t="str">
        <f aca="false">IF($B201&lt;&gt;1,"",IF(Data!D201="",1,0))</f>
        <v/>
      </c>
      <c r="I201" s="18" t="str">
        <f aca="false">IF($A201="","",IF(AND(Data!J201&lt;&gt;"",ISNUMBER(Data!J201),Data!J201&lt;Settings!$B$2,Data!G201="Active"),1,0))</f>
        <v/>
      </c>
      <c r="J201" s="18" t="str">
        <f aca="false">IF($A201="","",IF($B201&lt;&gt;1,0,(1-N($C201))+(1-N($D201))+(1-N($E201))+N($F201)+N($G201)+N($H201)+N($I201)))</f>
        <v/>
      </c>
    </row>
    <row r="203" customFormat="false" ht="15" hidden="false" customHeight="false" outlineLevel="0" collapsed="false">
      <c r="A203" s="8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11" t="s">
        <v>102</v>
      </c>
      <c r="B1" s="11" t="s">
        <v>29</v>
      </c>
      <c r="C1" s="11" t="s">
        <v>103</v>
      </c>
      <c r="D1" s="11" t="s">
        <v>104</v>
      </c>
      <c r="E1" s="11" t="s">
        <v>105</v>
      </c>
      <c r="F1" s="11" t="s">
        <v>106</v>
      </c>
      <c r="G1" s="11" t="s">
        <v>107</v>
      </c>
      <c r="H1" s="11" t="s">
        <v>108</v>
      </c>
      <c r="I1" s="11" t="s">
        <v>109</v>
      </c>
      <c r="J1" s="11" t="s">
        <v>19</v>
      </c>
      <c r="K1" s="11" t="s">
        <v>110</v>
      </c>
    </row>
    <row r="2" customFormat="false" ht="15" hidden="false" customHeight="false" outlineLevel="0" collapsed="false">
      <c r="A2" s="12" t="s">
        <v>111</v>
      </c>
      <c r="B2" s="12" t="s">
        <v>47</v>
      </c>
      <c r="C2" s="12" t="s">
        <v>112</v>
      </c>
      <c r="D2" s="12" t="s">
        <v>113</v>
      </c>
      <c r="E2" s="12" t="s">
        <v>43</v>
      </c>
      <c r="F2" s="13" t="n">
        <v>46176</v>
      </c>
      <c r="G2" s="13" t="n">
        <v>46197</v>
      </c>
      <c r="H2" s="19" t="n">
        <f aca="false">IF(OR(F2="",I2="Closed"),0,Settings!$B$2-F2)</f>
        <v>27</v>
      </c>
      <c r="I2" s="12" t="s">
        <v>114</v>
      </c>
      <c r="J2" s="12"/>
      <c r="K2" s="20" t="str">
        <f aca="false">IFERROR(INDEX(Data!$H:$H,MATCH($B2,Data!$A:$A,0)),"")</f>
        <v>Commerce</v>
      </c>
    </row>
    <row r="3" customFormat="false" ht="15" hidden="false" customHeight="false" outlineLevel="0" collapsed="false">
      <c r="A3" s="14" t="s">
        <v>115</v>
      </c>
      <c r="B3" s="14" t="s">
        <v>51</v>
      </c>
      <c r="C3" s="14" t="s">
        <v>112</v>
      </c>
      <c r="D3" s="14" t="s">
        <v>113</v>
      </c>
      <c r="E3" s="14" t="s">
        <v>55</v>
      </c>
      <c r="F3" s="15" t="n">
        <v>46120</v>
      </c>
      <c r="G3" s="15" t="n">
        <v>46141</v>
      </c>
      <c r="H3" s="21" t="n">
        <f aca="false">IF(OR(F3="",I3="Closed"),0,Settings!$B$2-F3)</f>
        <v>83</v>
      </c>
      <c r="I3" s="14" t="s">
        <v>114</v>
      </c>
      <c r="J3" s="14" t="s">
        <v>116</v>
      </c>
      <c r="K3" s="20" t="str">
        <f aca="false">IFERROR(INDEX(Data!$H:$H,MATCH($B3,Data!$A:$A,0)),"")</f>
        <v>Corporate</v>
      </c>
    </row>
    <row r="4" customFormat="false" ht="15" hidden="false" customHeight="false" outlineLevel="0" collapsed="false">
      <c r="A4" s="12" t="s">
        <v>117</v>
      </c>
      <c r="B4" s="12" t="s">
        <v>57</v>
      </c>
      <c r="C4" s="12" t="s">
        <v>118</v>
      </c>
      <c r="D4" s="12" t="s">
        <v>99</v>
      </c>
      <c r="E4" s="12" t="s">
        <v>61</v>
      </c>
      <c r="F4" s="13" t="n">
        <v>46176</v>
      </c>
      <c r="G4" s="13" t="n">
        <v>46218</v>
      </c>
      <c r="H4" s="19" t="n">
        <f aca="false">IF(OR(F4="",I4="Closed"),0,Settings!$B$2-F4)</f>
        <v>27</v>
      </c>
      <c r="I4" s="12" t="s">
        <v>114</v>
      </c>
      <c r="J4" s="12" t="s">
        <v>119</v>
      </c>
      <c r="K4" s="20" t="str">
        <f aca="false">IFERROR(INDEX(Data!$H:$H,MATCH($B4,Data!$A:$A,0)),"")</f>
        <v>Commerce</v>
      </c>
    </row>
    <row r="5" customFormat="false" ht="15" hidden="false" customHeight="false" outlineLevel="0" collapsed="false">
      <c r="A5" s="14" t="s">
        <v>120</v>
      </c>
      <c r="B5" s="14" t="s">
        <v>63</v>
      </c>
      <c r="C5" s="14" t="s">
        <v>121</v>
      </c>
      <c r="D5" s="14" t="s">
        <v>122</v>
      </c>
      <c r="E5" s="14" t="s">
        <v>55</v>
      </c>
      <c r="F5" s="15" t="n">
        <v>46176</v>
      </c>
      <c r="G5" s="15" t="n">
        <v>46197</v>
      </c>
      <c r="H5" s="21" t="n">
        <f aca="false">IF(OR(F5="",I5="Closed"),0,Settings!$B$2-F5)</f>
        <v>27</v>
      </c>
      <c r="I5" s="14" t="s">
        <v>114</v>
      </c>
      <c r="J5" s="14"/>
      <c r="K5" s="20" t="str">
        <f aca="false">IFERROR(INDEX(Data!$H:$H,MATCH($B5,Data!$A:$A,0)),"")</f>
        <v>Supply chain</v>
      </c>
    </row>
    <row r="6" customFormat="false" ht="15" hidden="false" customHeight="false" outlineLevel="0" collapsed="false">
      <c r="A6" s="12" t="s">
        <v>123</v>
      </c>
      <c r="B6" s="12" t="s">
        <v>69</v>
      </c>
      <c r="C6" s="12" t="s">
        <v>124</v>
      </c>
      <c r="D6" s="12" t="s">
        <v>125</v>
      </c>
      <c r="E6" s="12" t="s">
        <v>61</v>
      </c>
      <c r="F6" s="13" t="n">
        <v>46148</v>
      </c>
      <c r="G6" s="13" t="n">
        <v>46169</v>
      </c>
      <c r="H6" s="19" t="n">
        <f aca="false">IF(OR(F6="",I6="Closed"),0,Settings!$B$2-F6)</f>
        <v>55</v>
      </c>
      <c r="I6" s="12" t="s">
        <v>114</v>
      </c>
      <c r="J6" s="12" t="s">
        <v>126</v>
      </c>
      <c r="K6" s="20" t="str">
        <f aca="false">IFERROR(INDEX(Data!$H:$H,MATCH($B6,Data!$A:$A,0)),"")</f>
        <v>Supply chain</v>
      </c>
    </row>
    <row r="7" customFormat="false" ht="15" hidden="false" customHeight="false" outlineLevel="0" collapsed="false">
      <c r="A7" s="14" t="s">
        <v>127</v>
      </c>
      <c r="B7" s="14" t="s">
        <v>77</v>
      </c>
      <c r="C7" s="14" t="s">
        <v>128</v>
      </c>
      <c r="D7" s="14" t="s">
        <v>129</v>
      </c>
      <c r="E7" s="14" t="s">
        <v>44</v>
      </c>
      <c r="F7" s="15" t="n">
        <v>46176</v>
      </c>
      <c r="G7" s="15" t="n">
        <v>46197</v>
      </c>
      <c r="H7" s="21" t="n">
        <f aca="false">IF(OR(F7="",I7="Closed"),0,Settings!$B$2-F7)</f>
        <v>27</v>
      </c>
      <c r="I7" s="14" t="s">
        <v>114</v>
      </c>
      <c r="J7" s="14"/>
      <c r="K7" s="20" t="str">
        <f aca="false">IFERROR(INDEX(Data!$H:$H,MATCH($B7,Data!$A:$A,0)),"")</f>
        <v>Data</v>
      </c>
    </row>
    <row r="8" customFormat="false" ht="15" hidden="false" customHeight="false" outlineLevel="0" collapsed="false">
      <c r="A8" s="12" t="s">
        <v>130</v>
      </c>
      <c r="B8" s="12" t="s">
        <v>81</v>
      </c>
      <c r="C8" s="12" t="s">
        <v>131</v>
      </c>
      <c r="D8" s="12" t="s">
        <v>99</v>
      </c>
      <c r="E8" s="12" t="s">
        <v>55</v>
      </c>
      <c r="F8" s="13" t="n">
        <v>46148</v>
      </c>
      <c r="G8" s="13" t="n">
        <v>46190</v>
      </c>
      <c r="H8" s="19" t="n">
        <f aca="false">IF(OR(F8="",I8="Closed"),0,Settings!$B$2-F8)</f>
        <v>0</v>
      </c>
      <c r="I8" s="12" t="s">
        <v>132</v>
      </c>
      <c r="J8" s="12" t="s">
        <v>133</v>
      </c>
      <c r="K8" s="20" t="str">
        <f aca="false">IFERROR(INDEX(Data!$H:$H,MATCH($B8,Data!$A:$A,0)),"")</f>
        <v>Commerce</v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8" t="n">
        <f aca="false">IF(OR(F9="",I9="Closed"),0,Settings!$B$2-F9)</f>
        <v>0</v>
      </c>
      <c r="I9" s="16"/>
      <c r="J9" s="16"/>
      <c r="K9" s="18" t="str">
        <f aca="false">IFERROR(INDEX(Data!$H:$H,MATCH($B9,Data!$A:$A,0)),"")</f>
        <v/>
      </c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8" t="n">
        <f aca="false">IF(OR(F10="",I10="Closed"),0,Settings!$B$2-F10)</f>
        <v>0</v>
      </c>
      <c r="I10" s="16"/>
      <c r="J10" s="16"/>
      <c r="K10" s="18" t="str">
        <f aca="false">IFERROR(INDEX(Data!$H:$H,MATCH($B10,Data!$A:$A,0)),"")</f>
        <v/>
      </c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8" t="n">
        <f aca="false">IF(OR(F11="",I11="Closed"),0,Settings!$B$2-F11)</f>
        <v>0</v>
      </c>
      <c r="I11" s="16"/>
      <c r="J11" s="16"/>
      <c r="K11" s="18" t="str">
        <f aca="false">IFERROR(INDEX(Data!$H:$H,MATCH($B11,Data!$A:$A,0)),"")</f>
        <v/>
      </c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8" t="n">
        <f aca="false">IF(OR(F12="",I12="Closed"),0,Settings!$B$2-F12)</f>
        <v>0</v>
      </c>
      <c r="I12" s="16"/>
      <c r="J12" s="16"/>
      <c r="K12" s="18" t="str">
        <f aca="false">IFERROR(INDEX(Data!$H:$H,MATCH($B12,Data!$A:$A,0)),"")</f>
        <v/>
      </c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8" t="n">
        <f aca="false">IF(OR(F13="",I13="Closed"),0,Settings!$B$2-F13)</f>
        <v>0</v>
      </c>
      <c r="I13" s="16"/>
      <c r="J13" s="16"/>
      <c r="K13" s="18" t="str">
        <f aca="false">IFERROR(INDEX(Data!$H:$H,MATCH($B13,Data!$A:$A,0)),"")</f>
        <v/>
      </c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8" t="n">
        <f aca="false">IF(OR(F14="",I14="Closed"),0,Settings!$B$2-F14)</f>
        <v>0</v>
      </c>
      <c r="I14" s="16"/>
      <c r="J14" s="16"/>
      <c r="K14" s="18" t="str">
        <f aca="false">IFERROR(INDEX(Data!$H:$H,MATCH($B14,Data!$A:$A,0)),"")</f>
        <v/>
      </c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8" t="n">
        <f aca="false">IF(OR(F15="",I15="Closed"),0,Settings!$B$2-F15)</f>
        <v>0</v>
      </c>
      <c r="I15" s="16"/>
      <c r="J15" s="16"/>
      <c r="K15" s="18" t="str">
        <f aca="false">IFERROR(INDEX(Data!$H:$H,MATCH($B15,Data!$A:$A,0)),"")</f>
        <v/>
      </c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8" t="n">
        <f aca="false">IF(OR(F16="",I16="Closed"),0,Settings!$B$2-F16)</f>
        <v>0</v>
      </c>
      <c r="I16" s="16"/>
      <c r="J16" s="16"/>
      <c r="K16" s="18" t="str">
        <f aca="false">IFERROR(INDEX(Data!$H:$H,MATCH($B16,Data!$A:$A,0)),"")</f>
        <v/>
      </c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8" t="n">
        <f aca="false">IF(OR(F17="",I17="Closed"),0,Settings!$B$2-F17)</f>
        <v>0</v>
      </c>
      <c r="I17" s="16"/>
      <c r="J17" s="16"/>
      <c r="K17" s="18" t="str">
        <f aca="false">IFERROR(INDEX(Data!$H:$H,MATCH($B17,Data!$A:$A,0)),"")</f>
        <v/>
      </c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8" t="n">
        <f aca="false">IF(OR(F18="",I18="Closed"),0,Settings!$B$2-F18)</f>
        <v>0</v>
      </c>
      <c r="I18" s="16"/>
      <c r="J18" s="16"/>
      <c r="K18" s="18" t="str">
        <f aca="false">IFERROR(INDEX(Data!$H:$H,MATCH($B18,Data!$A:$A,0)),"")</f>
        <v/>
      </c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6"/>
      <c r="H19" s="18" t="n">
        <f aca="false">IF(OR(F19="",I19="Closed"),0,Settings!$B$2-F19)</f>
        <v>0</v>
      </c>
      <c r="I19" s="16"/>
      <c r="J19" s="16"/>
      <c r="K19" s="18" t="str">
        <f aca="false">IFERROR(INDEX(Data!$H:$H,MATCH($B19,Data!$A:$A,0)),"")</f>
        <v/>
      </c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8" t="n">
        <f aca="false">IF(OR(F20="",I20="Closed"),0,Settings!$B$2-F20)</f>
        <v>0</v>
      </c>
      <c r="I20" s="16"/>
      <c r="J20" s="16"/>
      <c r="K20" s="18" t="str">
        <f aca="false">IFERROR(INDEX(Data!$H:$H,MATCH($B20,Data!$A:$A,0)),"")</f>
        <v/>
      </c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8" t="n">
        <f aca="false">IF(OR(F21="",I21="Closed"),0,Settings!$B$2-F21)</f>
        <v>0</v>
      </c>
      <c r="I21" s="16"/>
      <c r="J21" s="16"/>
      <c r="K21" s="18" t="str">
        <f aca="false">IFERROR(INDEX(Data!$H:$H,MATCH($B21,Data!$A:$A,0)),"")</f>
        <v/>
      </c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6"/>
      <c r="H22" s="18" t="n">
        <f aca="false">IF(OR(F22="",I22="Closed"),0,Settings!$B$2-F22)</f>
        <v>0</v>
      </c>
      <c r="I22" s="16"/>
      <c r="J22" s="16"/>
      <c r="K22" s="18" t="str">
        <f aca="false">IFERROR(INDEX(Data!$H:$H,MATCH($B22,Data!$A:$A,0)),"")</f>
        <v/>
      </c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6"/>
      <c r="H23" s="18" t="n">
        <f aca="false">IF(OR(F23="",I23="Closed"),0,Settings!$B$2-F23)</f>
        <v>0</v>
      </c>
      <c r="I23" s="16"/>
      <c r="J23" s="16"/>
      <c r="K23" s="18" t="str">
        <f aca="false">IFERROR(INDEX(Data!$H:$H,MATCH($B23,Data!$A:$A,0)),"")</f>
        <v/>
      </c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6"/>
      <c r="H24" s="18" t="n">
        <f aca="false">IF(OR(F24="",I24="Closed"),0,Settings!$B$2-F24)</f>
        <v>0</v>
      </c>
      <c r="I24" s="16"/>
      <c r="J24" s="16"/>
      <c r="K24" s="18" t="str">
        <f aca="false">IFERROR(INDEX(Data!$H:$H,MATCH($B24,Data!$A:$A,0)),"")</f>
        <v/>
      </c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6"/>
      <c r="H25" s="18" t="n">
        <f aca="false">IF(OR(F25="",I25="Closed"),0,Settings!$B$2-F25)</f>
        <v>0</v>
      </c>
      <c r="I25" s="16"/>
      <c r="J25" s="16"/>
      <c r="K25" s="18" t="str">
        <f aca="false">IFERROR(INDEX(Data!$H:$H,MATCH($B25,Data!$A:$A,0)),"")</f>
        <v/>
      </c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6"/>
      <c r="H26" s="18" t="n">
        <f aca="false">IF(OR(F26="",I26="Closed"),0,Settings!$B$2-F26)</f>
        <v>0</v>
      </c>
      <c r="I26" s="16"/>
      <c r="J26" s="16"/>
      <c r="K26" s="18" t="str">
        <f aca="false">IFERROR(INDEX(Data!$H:$H,MATCH($B26,Data!$A:$A,0)),"")</f>
        <v/>
      </c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8" t="n">
        <f aca="false">IF(OR(F27="",I27="Closed"),0,Settings!$B$2-F27)</f>
        <v>0</v>
      </c>
      <c r="I27" s="16"/>
      <c r="J27" s="16"/>
      <c r="K27" s="18" t="str">
        <f aca="false">IFERROR(INDEX(Data!$H:$H,MATCH($B27,Data!$A:$A,0)),"")</f>
        <v/>
      </c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6"/>
      <c r="H28" s="18" t="n">
        <f aca="false">IF(OR(F28="",I28="Closed"),0,Settings!$B$2-F28)</f>
        <v>0</v>
      </c>
      <c r="I28" s="16"/>
      <c r="J28" s="16"/>
      <c r="K28" s="18" t="str">
        <f aca="false">IFERROR(INDEX(Data!$H:$H,MATCH($B28,Data!$A:$A,0)),"")</f>
        <v/>
      </c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8" t="n">
        <f aca="false">IF(OR(F29="",I29="Closed"),0,Settings!$B$2-F29)</f>
        <v>0</v>
      </c>
      <c r="I29" s="16"/>
      <c r="J29" s="16"/>
      <c r="K29" s="18" t="str">
        <f aca="false">IFERROR(INDEX(Data!$H:$H,MATCH($B29,Data!$A:$A,0)),"")</f>
        <v/>
      </c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6"/>
      <c r="H30" s="18" t="n">
        <f aca="false">IF(OR(F30="",I30="Closed"),0,Settings!$B$2-F30)</f>
        <v>0</v>
      </c>
      <c r="I30" s="16"/>
      <c r="J30" s="16"/>
      <c r="K30" s="18" t="str">
        <f aca="false">IFERROR(INDEX(Data!$H:$H,MATCH($B30,Data!$A:$A,0)),"")</f>
        <v/>
      </c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6"/>
      <c r="H31" s="18" t="n">
        <f aca="false">IF(OR(F31="",I31="Closed"),0,Settings!$B$2-F31)</f>
        <v>0</v>
      </c>
      <c r="I31" s="16"/>
      <c r="J31" s="16"/>
      <c r="K31" s="18" t="str">
        <f aca="false">IFERROR(INDEX(Data!$H:$H,MATCH($B31,Data!$A:$A,0)),"")</f>
        <v/>
      </c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6"/>
      <c r="H32" s="18" t="n">
        <f aca="false">IF(OR(F32="",I32="Closed"),0,Settings!$B$2-F32)</f>
        <v>0</v>
      </c>
      <c r="I32" s="16"/>
      <c r="J32" s="16"/>
      <c r="K32" s="18" t="str">
        <f aca="false">IFERROR(INDEX(Data!$H:$H,MATCH($B32,Data!$A:$A,0)),"")</f>
        <v/>
      </c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6"/>
      <c r="H33" s="18" t="n">
        <f aca="false">IF(OR(F33="",I33="Closed"),0,Settings!$B$2-F33)</f>
        <v>0</v>
      </c>
      <c r="I33" s="16"/>
      <c r="J33" s="16"/>
      <c r="K33" s="18" t="str">
        <f aca="false">IFERROR(INDEX(Data!$H:$H,MATCH($B33,Data!$A:$A,0)),"")</f>
        <v/>
      </c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6"/>
      <c r="H34" s="18" t="n">
        <f aca="false">IF(OR(F34="",I34="Closed"),0,Settings!$B$2-F34)</f>
        <v>0</v>
      </c>
      <c r="I34" s="16"/>
      <c r="J34" s="16"/>
      <c r="K34" s="18" t="str">
        <f aca="false">IFERROR(INDEX(Data!$H:$H,MATCH($B34,Data!$A:$A,0)),"")</f>
        <v/>
      </c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6"/>
      <c r="H35" s="18" t="n">
        <f aca="false">IF(OR(F35="",I35="Closed"),0,Settings!$B$2-F35)</f>
        <v>0</v>
      </c>
      <c r="I35" s="16"/>
      <c r="J35" s="16"/>
      <c r="K35" s="18" t="str">
        <f aca="false">IFERROR(INDEX(Data!$H:$H,MATCH($B35,Data!$A:$A,0)),"")</f>
        <v/>
      </c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6"/>
      <c r="H36" s="18" t="n">
        <f aca="false">IF(OR(F36="",I36="Closed"),0,Settings!$B$2-F36)</f>
        <v>0</v>
      </c>
      <c r="I36" s="16"/>
      <c r="J36" s="16"/>
      <c r="K36" s="18" t="str">
        <f aca="false">IFERROR(INDEX(Data!$H:$H,MATCH($B36,Data!$A:$A,0)),"")</f>
        <v/>
      </c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8" t="n">
        <f aca="false">IF(OR(F37="",I37="Closed"),0,Settings!$B$2-F37)</f>
        <v>0</v>
      </c>
      <c r="I37" s="16"/>
      <c r="J37" s="16"/>
      <c r="K37" s="18" t="str">
        <f aca="false">IFERROR(INDEX(Data!$H:$H,MATCH($B37,Data!$A:$A,0)),"")</f>
        <v/>
      </c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8" t="n">
        <f aca="false">IF(OR(F38="",I38="Closed"),0,Settings!$B$2-F38)</f>
        <v>0</v>
      </c>
      <c r="I38" s="16"/>
      <c r="J38" s="16"/>
      <c r="K38" s="18" t="str">
        <f aca="false">IFERROR(INDEX(Data!$H:$H,MATCH($B38,Data!$A:$A,0)),"")</f>
        <v/>
      </c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8" t="n">
        <f aca="false">IF(OR(F39="",I39="Closed"),0,Settings!$B$2-F39)</f>
        <v>0</v>
      </c>
      <c r="I39" s="16"/>
      <c r="J39" s="16"/>
      <c r="K39" s="18" t="str">
        <f aca="false">IFERROR(INDEX(Data!$H:$H,MATCH($B39,Data!$A:$A,0)),"")</f>
        <v/>
      </c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8" t="n">
        <f aca="false">IF(OR(F40="",I40="Closed"),0,Settings!$B$2-F40)</f>
        <v>0</v>
      </c>
      <c r="I40" s="16"/>
      <c r="J40" s="16"/>
      <c r="K40" s="18" t="str">
        <f aca="false">IFERROR(INDEX(Data!$H:$H,MATCH($B40,Data!$A:$A,0)),"")</f>
        <v/>
      </c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8" t="n">
        <f aca="false">IF(OR(F41="",I41="Closed"),0,Settings!$B$2-F41)</f>
        <v>0</v>
      </c>
      <c r="I41" s="16"/>
      <c r="J41" s="16"/>
      <c r="K41" s="18" t="str">
        <f aca="false">IFERROR(INDEX(Data!$H:$H,MATCH($B41,Data!$A:$A,0)),"")</f>
        <v/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8" t="n">
        <f aca="false">IF(OR(F42="",I42="Closed"),0,Settings!$B$2-F42)</f>
        <v>0</v>
      </c>
      <c r="I42" s="16"/>
      <c r="J42" s="16"/>
      <c r="K42" s="18" t="str">
        <f aca="false">IFERROR(INDEX(Data!$H:$H,MATCH($B42,Data!$A:$A,0)),"")</f>
        <v/>
      </c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8" t="n">
        <f aca="false">IF(OR(F43="",I43="Closed"),0,Settings!$B$2-F43)</f>
        <v>0</v>
      </c>
      <c r="I43" s="16"/>
      <c r="J43" s="16"/>
      <c r="K43" s="18" t="str">
        <f aca="false">IFERROR(INDEX(Data!$H:$H,MATCH($B43,Data!$A:$A,0)),"")</f>
        <v/>
      </c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6"/>
      <c r="H44" s="18" t="n">
        <f aca="false">IF(OR(F44="",I44="Closed"),0,Settings!$B$2-F44)</f>
        <v>0</v>
      </c>
      <c r="I44" s="16"/>
      <c r="J44" s="16"/>
      <c r="K44" s="18" t="str">
        <f aca="false">IFERROR(INDEX(Data!$H:$H,MATCH($B44,Data!$A:$A,0)),"")</f>
        <v/>
      </c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6"/>
      <c r="H45" s="18" t="n">
        <f aca="false">IF(OR(F45="",I45="Closed"),0,Settings!$B$2-F45)</f>
        <v>0</v>
      </c>
      <c r="I45" s="16"/>
      <c r="J45" s="16"/>
      <c r="K45" s="18" t="str">
        <f aca="false">IFERROR(INDEX(Data!$H:$H,MATCH($B45,Data!$A:$A,0)),"")</f>
        <v/>
      </c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6"/>
      <c r="H46" s="18" t="n">
        <f aca="false">IF(OR(F46="",I46="Closed"),0,Settings!$B$2-F46)</f>
        <v>0</v>
      </c>
      <c r="I46" s="16"/>
      <c r="J46" s="16"/>
      <c r="K46" s="18" t="str">
        <f aca="false">IFERROR(INDEX(Data!$H:$H,MATCH($B46,Data!$A:$A,0)),"")</f>
        <v/>
      </c>
    </row>
    <row r="48" customFormat="false" ht="15" hidden="false" customHeight="false" outlineLevel="0" collapsed="false">
      <c r="A48" s="8" t="s">
        <v>134</v>
      </c>
    </row>
  </sheetData>
  <dataValidations count="1">
    <dataValidation allowBlank="true" errorStyle="stop" operator="between" showDropDown="false" showErrorMessage="false" showInputMessage="false" sqref="I2:I47" type="list">
      <formula1>"Open,Closed,Escalated,Rule changed"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6" min="6" style="0" width="44"/>
  </cols>
  <sheetData>
    <row r="1" customFormat="false" ht="16.15" hidden="false" customHeight="false" outlineLevel="0" collapsed="false">
      <c r="A1" s="22" t="s">
        <v>135</v>
      </c>
    </row>
    <row r="2" customFormat="false" ht="15" hidden="false" customHeight="false" outlineLevel="0" collapsed="false">
      <c r="A2" s="20" t="str">
        <f aca="false">TEXT(Settings!B2,"mmmm yyyy")&amp;" - as at "&amp;TEXT(Settings!B2,"dd mmm")</f>
        <v>June 2026 - as at 30 Jun</v>
      </c>
    </row>
    <row r="4" customFormat="false" ht="15" hidden="false" customHeight="false" outlineLevel="0" collapsed="false">
      <c r="A4" s="6" t="s">
        <v>136</v>
      </c>
    </row>
    <row r="5" customFormat="false" ht="22.05" hidden="false" customHeight="false" outlineLevel="0" collapsed="false">
      <c r="A5" s="6" t="s">
        <v>137</v>
      </c>
      <c r="B5" s="23" t="n">
        <f aca="false">IFERROR(SUMPRODUCT(--(Checks!C2:C201=1))/SUMPRODUCT(--(Checks!B2:B201=1)),0)</f>
        <v>0.625</v>
      </c>
    </row>
    <row r="6" customFormat="false" ht="22.05" hidden="false" customHeight="false" outlineLevel="0" collapsed="false">
      <c r="A6" s="6" t="s">
        <v>138</v>
      </c>
      <c r="B6" s="24" t="n">
        <f aca="false">COUNTIF(Findings!I:I,"Open")</f>
        <v>6</v>
      </c>
    </row>
    <row r="7" customFormat="false" ht="22.05" hidden="false" customHeight="false" outlineLevel="0" collapsed="false">
      <c r="A7" s="6" t="s">
        <v>139</v>
      </c>
      <c r="B7" s="24" t="n">
        <f aca="false">COUNTIF(Findings!I:I,"Closed")</f>
        <v>1</v>
      </c>
    </row>
    <row r="8" customFormat="false" ht="15" hidden="false" customHeight="false" outlineLevel="0" collapsed="false">
      <c r="A8" s="6" t="s">
        <v>140</v>
      </c>
      <c r="B8" s="25" t="n">
        <f aca="false">IFERROR(SUMPRODUCT(--(Checks!D2:D201=1))/SUMPRODUCT(--(Checks!B2:B201=1)),0)</f>
        <v>1</v>
      </c>
    </row>
    <row r="9" customFormat="false" ht="15" hidden="false" customHeight="false" outlineLevel="0" collapsed="false">
      <c r="A9" s="6" t="s">
        <v>141</v>
      </c>
      <c r="B9" s="25" t="n">
        <f aca="false">IFERROR(SUMPRODUCT(--(Checks!E2:E201=1))/SUMPRODUCT(--(Checks!B2:B201=1)),0)</f>
        <v>0.75</v>
      </c>
    </row>
    <row r="10" customFormat="false" ht="15" hidden="false" customHeight="false" outlineLevel="0" collapsed="false">
      <c r="A10" s="6" t="s">
        <v>142</v>
      </c>
      <c r="B10" s="26" t="n">
        <f aca="false">SUMPRODUCT(--(Checks!I2:I201=1))</f>
        <v>1</v>
      </c>
    </row>
    <row r="12" customFormat="false" ht="15" hidden="false" customHeight="false" outlineLevel="0" collapsed="false">
      <c r="A12" s="6" t="s">
        <v>143</v>
      </c>
    </row>
    <row r="13" customFormat="false" ht="15" hidden="false" customHeight="false" outlineLevel="0" collapsed="false">
      <c r="A13" s="27" t="s">
        <v>36</v>
      </c>
      <c r="B13" s="27" t="s">
        <v>144</v>
      </c>
      <c r="C13" s="27" t="s">
        <v>145</v>
      </c>
      <c r="D13" s="27" t="s">
        <v>138</v>
      </c>
      <c r="E13" s="27" t="s">
        <v>146</v>
      </c>
    </row>
    <row r="14" customFormat="false" ht="15" hidden="false" customHeight="false" outlineLevel="0" collapsed="false">
      <c r="A14" s="28" t="s">
        <v>46</v>
      </c>
      <c r="B14" s="17" t="n">
        <f aca="false">SUMPRODUCT(--(Data!$H$2:$H$201=$A14),--(Checks!$B$2:$B$201=1))</f>
        <v>3</v>
      </c>
      <c r="C14" s="29" t="n">
        <f aca="false">IFERROR(SUMPRODUCT(--(Data!$H$2:$H$201=$A14),--(Checks!$C$2:$C$201=1))/$B14,0)</f>
        <v>0.666666666666667</v>
      </c>
      <c r="D14" s="17" t="n">
        <f aca="false">COUNTIFS(Findings!$K$2:$K$60,$A14,Findings!$I$2:$I$60,"Open")</f>
        <v>2</v>
      </c>
      <c r="E14" s="17" t="n">
        <f aca="false">SUMPRODUCT(MAX((Findings!$K$2:$K$60=$A14)*(Findings!$I$2:$I$60="Open")*Findings!$H$2:$H$60))</f>
        <v>27</v>
      </c>
    </row>
    <row r="15" customFormat="false" ht="15" hidden="false" customHeight="false" outlineLevel="0" collapsed="false">
      <c r="A15" s="30" t="s">
        <v>68</v>
      </c>
      <c r="B15" s="18" t="n">
        <f aca="false">SUMPRODUCT(--(Data!$H$2:$H$201=$A15),--(Checks!$B$2:$B$201=1))</f>
        <v>3</v>
      </c>
      <c r="C15" s="25" t="n">
        <f aca="false">IFERROR(SUMPRODUCT(--(Data!$H$2:$H$201=$A15),--(Checks!$C$2:$C$201=1))/$B15,0)</f>
        <v>1</v>
      </c>
      <c r="D15" s="18" t="n">
        <f aca="false">COUNTIFS(Findings!$K$2:$K$60,$A15,Findings!$I$2:$I$60,"Open")</f>
        <v>2</v>
      </c>
      <c r="E15" s="18" t="n">
        <f aca="false">SUMPRODUCT(MAX((Findings!$K$2:$K$60=$A15)*(Findings!$I$2:$I$60="Open")*Findings!$H$2:$H$60))</f>
        <v>55</v>
      </c>
    </row>
    <row r="16" customFormat="false" ht="15" hidden="false" customHeight="false" outlineLevel="0" collapsed="false">
      <c r="A16" s="28" t="s">
        <v>56</v>
      </c>
      <c r="B16" s="17" t="n">
        <f aca="false">SUMPRODUCT(--(Data!$H$2:$H$201=$A16),--(Checks!$B$2:$B$201=1))</f>
        <v>1</v>
      </c>
      <c r="C16" s="29" t="n">
        <f aca="false">IFERROR(SUMPRODUCT(--(Data!$H$2:$H$201=$A16),--(Checks!$C$2:$C$201=1))/$B16,0)</f>
        <v>0</v>
      </c>
      <c r="D16" s="17" t="n">
        <f aca="false">COUNTIFS(Findings!$K$2:$K$60,$A16,Findings!$I$2:$I$60,"Open")</f>
        <v>1</v>
      </c>
      <c r="E16" s="17" t="n">
        <f aca="false">SUMPRODUCT(MAX((Findings!$K$2:$K$60=$A16)*(Findings!$I$2:$I$60="Open")*Findings!$H$2:$H$60))</f>
        <v>83</v>
      </c>
    </row>
    <row r="17" customFormat="false" ht="15" hidden="false" customHeight="false" outlineLevel="0" collapsed="false">
      <c r="A17" s="30" t="s">
        <v>80</v>
      </c>
      <c r="B17" s="18" t="n">
        <f aca="false">SUMPRODUCT(--(Data!$H$2:$H$201=$A17),--(Checks!$B$2:$B$201=1))</f>
        <v>1</v>
      </c>
      <c r="C17" s="25" t="n">
        <f aca="false">IFERROR(SUMPRODUCT(--(Data!$H$2:$H$201=$A17),--(Checks!$C$2:$C$201=1))/$B17,0)</f>
        <v>0</v>
      </c>
      <c r="D17" s="18" t="n">
        <f aca="false">COUNTIFS(Findings!$K$2:$K$60,$A17,Findings!$I$2:$I$60,"Open")</f>
        <v>1</v>
      </c>
      <c r="E17" s="18" t="n">
        <f aca="false">SUMPRODUCT(MAX((Findings!$K$2:$K$60=$A17)*(Findings!$I$2:$I$60="Open")*Findings!$H$2:$H$60))</f>
        <v>27</v>
      </c>
    </row>
    <row r="19" customFormat="false" ht="15" hidden="false" customHeight="false" outlineLevel="0" collapsed="false">
      <c r="A19" s="6" t="s">
        <v>147</v>
      </c>
    </row>
    <row r="20" customFormat="false" ht="15" hidden="false" customHeight="false" outlineLevel="0" collapsed="false">
      <c r="A20" s="6" t="s">
        <v>148</v>
      </c>
    </row>
    <row r="21" customFormat="false" ht="15" hidden="false" customHeight="false" outlineLevel="0" collapsed="false">
      <c r="A21" s="31" t="s">
        <v>149</v>
      </c>
    </row>
    <row r="23" customFormat="false" ht="15" hidden="false" customHeight="false" outlineLevel="0" collapsed="false">
      <c r="A23" s="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1" t="s">
        <v>151</v>
      </c>
      <c r="B1" s="11" t="s">
        <v>152</v>
      </c>
      <c r="C1" s="11" t="s">
        <v>33</v>
      </c>
      <c r="D1" s="11" t="s">
        <v>34</v>
      </c>
      <c r="E1" s="11" t="s">
        <v>138</v>
      </c>
      <c r="F1" s="11" t="s">
        <v>153</v>
      </c>
      <c r="G1" s="11" t="s">
        <v>142</v>
      </c>
    </row>
    <row r="2" customFormat="false" ht="15" hidden="false" customHeight="false" outlineLevel="0" collapsed="false">
      <c r="A2" s="32" t="n">
        <v>45839</v>
      </c>
      <c r="B2" s="33" t="n">
        <v>0.61</v>
      </c>
      <c r="C2" s="33" t="n">
        <v>0.88</v>
      </c>
      <c r="D2" s="33" t="n">
        <v>0.55</v>
      </c>
      <c r="E2" s="34" t="n">
        <v>22</v>
      </c>
      <c r="F2" s="34" t="n">
        <v>7</v>
      </c>
      <c r="G2" s="34" t="n">
        <v>9</v>
      </c>
    </row>
    <row r="3" customFormat="false" ht="15" hidden="false" customHeight="false" outlineLevel="0" collapsed="false">
      <c r="A3" s="35" t="n">
        <v>45870</v>
      </c>
      <c r="B3" s="36" t="n">
        <v>0.66</v>
      </c>
      <c r="C3" s="36" t="n">
        <v>0.9</v>
      </c>
      <c r="D3" s="36" t="n">
        <v>0.58</v>
      </c>
      <c r="E3" s="37" t="n">
        <v>19</v>
      </c>
      <c r="F3" s="37" t="n">
        <v>9</v>
      </c>
      <c r="G3" s="37" t="n">
        <v>8</v>
      </c>
    </row>
    <row r="4" customFormat="false" ht="15" hidden="false" customHeight="false" outlineLevel="0" collapsed="false">
      <c r="A4" s="32" t="n">
        <v>45901</v>
      </c>
      <c r="B4" s="33" t="n">
        <v>0.71</v>
      </c>
      <c r="C4" s="33" t="n">
        <v>0.92</v>
      </c>
      <c r="D4" s="33" t="n">
        <v>0.62</v>
      </c>
      <c r="E4" s="34" t="n">
        <v>17</v>
      </c>
      <c r="F4" s="34" t="n">
        <v>8</v>
      </c>
      <c r="G4" s="34" t="n">
        <v>6</v>
      </c>
    </row>
    <row r="5" customFormat="false" ht="15" hidden="false" customHeight="false" outlineLevel="0" collapsed="false">
      <c r="A5" s="35" t="n">
        <v>45931</v>
      </c>
      <c r="B5" s="36" t="n">
        <v>0.74</v>
      </c>
      <c r="C5" s="36" t="n">
        <v>0.93</v>
      </c>
      <c r="D5" s="36" t="n">
        <v>0.66</v>
      </c>
      <c r="E5" s="37" t="n">
        <v>15</v>
      </c>
      <c r="F5" s="37" t="n">
        <v>6</v>
      </c>
      <c r="G5" s="37" t="n">
        <v>5</v>
      </c>
    </row>
    <row r="6" customFormat="false" ht="15" hidden="false" customHeight="false" outlineLevel="0" collapsed="false">
      <c r="A6" s="32" t="n">
        <v>45962</v>
      </c>
      <c r="B6" s="33" t="n">
        <v>0.75</v>
      </c>
      <c r="C6" s="33" t="n">
        <v>0.94</v>
      </c>
      <c r="D6" s="33" t="n">
        <v>0.67</v>
      </c>
      <c r="E6" s="34" t="n">
        <v>15</v>
      </c>
      <c r="F6" s="34" t="n">
        <v>5</v>
      </c>
      <c r="G6" s="34" t="n">
        <v>5</v>
      </c>
    </row>
    <row r="7" customFormat="false" ht="15" hidden="false" customHeight="false" outlineLevel="0" collapsed="false">
      <c r="A7" s="35" t="n">
        <v>45992</v>
      </c>
      <c r="B7" s="36" t="n">
        <v>0.76</v>
      </c>
      <c r="C7" s="36" t="n">
        <v>0.94</v>
      </c>
      <c r="D7" s="36" t="n">
        <v>0.68</v>
      </c>
      <c r="E7" s="37" t="n">
        <v>14</v>
      </c>
      <c r="F7" s="37" t="n">
        <v>6</v>
      </c>
      <c r="G7" s="37" t="n">
        <v>4</v>
      </c>
    </row>
    <row r="8" customFormat="false" ht="15" hidden="false" customHeight="false" outlineLevel="0" collapsed="false">
      <c r="A8" s="32" t="n">
        <v>46023</v>
      </c>
      <c r="B8" s="33" t="n">
        <v>0.76</v>
      </c>
      <c r="C8" s="33" t="n">
        <v>0.95</v>
      </c>
      <c r="D8" s="33" t="n">
        <v>0.69</v>
      </c>
      <c r="E8" s="34" t="n">
        <v>14</v>
      </c>
      <c r="F8" s="34" t="n">
        <v>5</v>
      </c>
      <c r="G8" s="34" t="n">
        <v>4</v>
      </c>
    </row>
    <row r="9" customFormat="false" ht="15" hidden="false" customHeight="false" outlineLevel="0" collapsed="false">
      <c r="A9" s="35" t="n">
        <v>46054</v>
      </c>
      <c r="B9" s="36" t="n">
        <v>0.77</v>
      </c>
      <c r="C9" s="36" t="n">
        <v>0.95</v>
      </c>
      <c r="D9" s="36" t="n">
        <v>0.7</v>
      </c>
      <c r="E9" s="37" t="n">
        <v>13</v>
      </c>
      <c r="F9" s="37" t="n">
        <v>6</v>
      </c>
      <c r="G9" s="37" t="n">
        <v>3</v>
      </c>
    </row>
    <row r="10" customFormat="false" ht="15" hidden="false" customHeight="false" outlineLevel="0" collapsed="false">
      <c r="A10" s="32" t="n">
        <v>46082</v>
      </c>
      <c r="B10" s="33" t="n">
        <v>0.77</v>
      </c>
      <c r="C10" s="33" t="n">
        <v>0.96</v>
      </c>
      <c r="D10" s="33" t="n">
        <v>0.7</v>
      </c>
      <c r="E10" s="34" t="n">
        <v>13</v>
      </c>
      <c r="F10" s="34" t="n">
        <v>5</v>
      </c>
      <c r="G10" s="34" t="n">
        <v>3</v>
      </c>
    </row>
    <row r="11" customFormat="false" ht="15" hidden="false" customHeight="false" outlineLevel="0" collapsed="false">
      <c r="A11" s="35" t="n">
        <v>46113</v>
      </c>
      <c r="B11" s="36" t="n">
        <v>0.78</v>
      </c>
      <c r="C11" s="36" t="n">
        <v>0.96</v>
      </c>
      <c r="D11" s="36" t="n">
        <v>0.71</v>
      </c>
      <c r="E11" s="37" t="n">
        <v>14</v>
      </c>
      <c r="F11" s="37" t="n">
        <v>4</v>
      </c>
      <c r="G11" s="37" t="n">
        <v>3</v>
      </c>
    </row>
    <row r="12" customFormat="false" ht="15" hidden="false" customHeight="false" outlineLevel="0" collapsed="false">
      <c r="A12" s="32" t="n">
        <v>46143</v>
      </c>
      <c r="B12" s="33" t="n">
        <v>0.78</v>
      </c>
      <c r="C12" s="33" t="n">
        <v>0.96</v>
      </c>
      <c r="D12" s="33" t="n">
        <v>0.72</v>
      </c>
      <c r="E12" s="34" t="n">
        <v>13</v>
      </c>
      <c r="F12" s="34" t="n">
        <v>5</v>
      </c>
      <c r="G12" s="34" t="n">
        <v>2</v>
      </c>
    </row>
    <row r="13" customFormat="false" ht="15" hidden="false" customHeight="false" outlineLevel="0" collapsed="false">
      <c r="A13" s="38" t="n">
        <f aca="false">Settings!B2</f>
        <v>46203</v>
      </c>
      <c r="B13" s="39" t="n">
        <f aca="false">Report!B5</f>
        <v>0.625</v>
      </c>
      <c r="C13" s="39" t="n">
        <f aca="false">Report!B8</f>
        <v>1</v>
      </c>
      <c r="D13" s="39" t="n">
        <f aca="false">Report!B9</f>
        <v>0.75</v>
      </c>
      <c r="E13" s="40" t="n">
        <f aca="false">Report!B6</f>
        <v>6</v>
      </c>
      <c r="F13" s="40" t="n">
        <f aca="false">Report!B7</f>
        <v>1</v>
      </c>
      <c r="G13" s="40" t="n">
        <f aca="false">Report!B10</f>
        <v>1</v>
      </c>
    </row>
    <row r="14" customFormat="false" ht="15" hidden="false" customHeight="false" outlineLevel="0" collapsed="false">
      <c r="A14" s="8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2026-08-09T12:55:55Z</dcterms:created>
  <dc:creator>openpyxl</dc:creator>
  <dc:description/>
  <dc:language>en-US</dc:language>
  <cp:lastModifiedBy/>
  <dcterms:modified xsi:type="dcterms:W3CDTF">2026-08-09T12:55:55Z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
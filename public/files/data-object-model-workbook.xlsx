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Lists" sheetId="3" state="hidden" r:id="rId3"/>
    <sheet xmlns:r="http://schemas.openxmlformats.org/officeDocument/2006/relationships" name="Objects" sheetId="4" state="visible" r:id="rId4"/>
    <sheet xmlns:r="http://schemas.openxmlformats.org/officeDocument/2006/relationships" name="Attributes" sheetId="5" state="visible" r:id="rId5"/>
    <sheet xmlns:r="http://schemas.openxmlformats.org/officeDocument/2006/relationships" name="Links" sheetId="6" state="visible" r:id="rId6"/>
    <sheet xmlns:r="http://schemas.openxmlformats.org/officeDocument/2006/relationships" name="Exceptions" sheetId="7" state="visible" r:id="rId7"/>
    <sheet xmlns:r="http://schemas.openxmlformats.org/officeDocument/2006/relationships" name="Derived views" sheetId="8" state="visible" r:id="rId8"/>
  </sheets>
  <definedNames>
    <definedName name="_xlnm._FilterDatabase" localSheetId="3" hidden="1">'Objects'!$A$1:$P$61</definedName>
    <definedName name="_xlnm._FilterDatabase" localSheetId="4" hidden="1">'Attributes'!$A$1:$I$401</definedName>
    <definedName name="_xlnm._FilterDatabase" localSheetId="5" hidden="1">'Links'!$A$1:$J$601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;-0;;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i val="1"/>
      <color rgb="FF7D766E"/>
      <sz val="9"/>
    </font>
    <font>
      <name val="Arial"/>
      <b val="1"/>
      <color rgb="FFFFFFFF"/>
      <sz val="10"/>
    </font>
    <font>
      <name val="Arial"/>
      <b val="1"/>
      <color rgb="FF14606B"/>
      <sz val="18"/>
    </font>
    <font>
      <name val="Arial"/>
      <b val="1"/>
      <color rgb="FF14606B"/>
      <sz val="12"/>
    </font>
  </fonts>
  <fills count="4">
    <fill>
      <patternFill/>
    </fill>
    <fill>
      <patternFill patternType="gray125"/>
    </fill>
    <fill>
      <patternFill patternType="solid">
        <fgColor rgb="FF14606B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E4E0D7"/>
      </left>
      <right style="thin">
        <color rgb="FFE4E0D7"/>
      </right>
      <top style="thin">
        <color rgb="FFE4E0D7"/>
      </top>
      <bottom style="thin">
        <color rgb="FFE4E0D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3" fillId="0" borderId="0" pivotButton="0" quotePrefix="0" xfId="0"/>
    <xf numFmtId="164" fontId="2" fillId="3" borderId="1" pivotButton="0" quotePrefix="0" xfId="0"/>
    <xf numFmtId="0" fontId="4" fillId="0" borderId="0" pivotButton="0" quotePrefix="0" xfId="0"/>
    <xf numFmtId="0" fontId="2" fillId="3" borderId="1" pivotButton="0" quotePrefix="0" xfId="0"/>
    <xf numFmtId="0" fontId="2" fillId="0" borderId="0" pivotButton="0" quotePrefix="0" xfId="0"/>
    <xf numFmtId="0" fontId="5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5" fontId="2" fillId="0" borderId="1" pivotButton="0" quotePrefix="0" xfId="0"/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pivotButton="0" quotePrefix="0" xfId="0"/>
    <xf numFmtId="0" fontId="6" fillId="0" borderId="0" pivotButton="0" quotePrefix="0" xfId="0"/>
    <xf numFmtId="0" fontId="1" fillId="0" borderId="0" pivotButton="0" quotePrefix="0" xfId="0"/>
    <xf numFmtId="0" fontId="7" fillId="0" borderId="1" pivotButton="0" quotePrefix="0" xfId="0"/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FFF2E4E0"/>
        </patternFill>
      </fill>
    </dxf>
    <dxf>
      <fill>
        <patternFill patternType="solid">
          <fgColor rgb="FFE3EFE7"/>
        </patternFill>
      </fill>
    </dxf>
    <dxf>
      <fill>
        <patternFill patternType="solid">
          <fgColor rgb="FFF5EC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Object model workbook</t>
        </is>
      </c>
    </row>
    <row r="2">
      <c r="A2" s="2" t="inlineStr">
        <is>
          <t>The data model in one file: the object register, the attributes, one flat link table carrying all four joins, attestation, exceptions with expiry, and a derived-views sheet that computes the answers you actually get asked.</t>
        </is>
      </c>
    </row>
    <row r="3">
      <c r="A3" s="2" t="inlineStr"/>
    </row>
    <row r="4">
      <c r="A4" s="3" t="inlineStr">
        <is>
          <t>Why one flat link table</t>
        </is>
      </c>
    </row>
    <row r="5">
      <c r="A5" s="2" t="inlineStr">
        <is>
          <t>Four joins - object to capability, application, IT component, and interface - live in a single Links sheet with a Type column. One table is easier to maintain than four, filters like four, and imports into a portfolio tool without reshaping. The role on each link (master, reference, consumer) is the entire information content; a link without a role tells you only that two things are related, which you already suspected.</t>
        </is>
      </c>
    </row>
    <row r="6">
      <c r="A6" s="2" t="inlineStr"/>
    </row>
    <row r="7">
      <c r="A7" s="3" t="inlineStr">
        <is>
          <t>The sheets</t>
        </is>
      </c>
    </row>
    <row r="8">
      <c r="A8" s="2" t="inlineStr">
        <is>
          <t>Settings - as-at date, attestation window, and the object count ceiling. Change these first.</t>
        </is>
      </c>
    </row>
    <row r="9">
      <c r="A9" s="2" t="inlineStr">
        <is>
          <t>Objects - one row per domain object. Master, owner, steward, capability, definition, boundary, classification, residency, attestation.</t>
        </is>
      </c>
    </row>
    <row r="10">
      <c r="A10" s="2" t="inlineStr">
        <is>
          <t>Attributes - the arguable subset only, with jurisdiction scoping. Eight to fifteen per object, not the schema.</t>
        </is>
      </c>
    </row>
    <row r="11">
      <c r="A11" s="2" t="inlineStr">
        <is>
          <t>Links - the four joins. Type, from, to, role, and a note.</t>
        </is>
      </c>
    </row>
    <row r="12">
      <c r="A12" s="2" t="inlineStr">
        <is>
          <t>Exceptions - registered deviations with expiry, including dual-write windows.</t>
        </is>
      </c>
    </row>
    <row r="13">
      <c r="A13" s="2" t="inlineStr">
        <is>
          <t>Derived views - the contradiction report, orphan capabilities, residency answer, change impact, and the three report lines.</t>
        </is>
      </c>
    </row>
    <row r="14">
      <c r="A14" s="2" t="inlineStr"/>
    </row>
    <row r="15">
      <c r="A15" s="3" t="inlineStr">
        <is>
          <t>How to run it</t>
        </is>
      </c>
    </row>
    <row r="16">
      <c r="A16" s="2" t="inlineStr">
        <is>
          <t>1. Start from the interfaces you already have. Anything two systems exchange is a domain object whether or not anyone named it - that is a better first draft than a workshop, because it contains no aspiration.</t>
        </is>
      </c>
    </row>
    <row r="17">
      <c r="A17" s="2" t="inlineStr">
        <is>
          <t>2. Fill Objects for the top ten. The Master column is the one that matters; leave the rest blank rather than guessing.</t>
        </is>
      </c>
    </row>
    <row r="18">
      <c r="A18" s="2" t="inlineStr">
        <is>
          <t>3. Add links as you learn them. A link with no role is not worth adding.</t>
        </is>
      </c>
    </row>
    <row r="19">
      <c r="A19" s="2" t="inlineStr">
        <is>
          <t>4. Check Derived views. The contradiction report finds objects with more than one master, which is a live incident waiting to happen.</t>
        </is>
      </c>
    </row>
    <row r="20">
      <c r="A20" s="2" t="inlineStr">
        <is>
          <t>5. Attest quarterly. A stale object is a finding routed to a person with a due date, exactly like every other finding.</t>
        </is>
      </c>
    </row>
    <row r="21">
      <c r="A21" s="2" t="inlineStr"/>
    </row>
    <row r="22">
      <c r="A22" s="3" t="inlineStr">
        <is>
          <t>Two rules that keep it maintainable</t>
        </is>
      </c>
    </row>
    <row r="23">
      <c r="A23" s="2" t="inlineStr">
        <is>
          <t>Every attribute must feed a named decision, or it does not go on the sheet. Not 'it might be useful' - which decision, taken by whom, how often.</t>
        </is>
      </c>
    </row>
    <row r="24">
      <c r="A24" s="2" t="inlineStr">
        <is>
          <t>Twenty to forty objects at group level. Below twenty you are missing something structural; above sixty you are modelling a schema and nobody will maintain it in a year.</t>
        </is>
      </c>
    </row>
    <row r="25">
      <c r="A25" s="2" t="inlineStr"/>
    </row>
    <row r="26">
      <c r="A26" s="4" t="inlineStr">
        <is>
          <t>Yellow cells are yours to fill. Everything else computes.</t>
        </is>
      </c>
    </row>
    <row r="27">
      <c r="A27" s="4" t="inlineStr">
        <is>
          <t>Companion article: mehdibamou.com/publications/data-strategy-object-model - free to use and adapt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66" customWidth="1" min="3" max="3"/>
  </cols>
  <sheetData>
    <row r="1">
      <c r="A1" s="5" t="inlineStr">
        <is>
          <t>Setting</t>
        </is>
      </c>
      <c r="B1" s="5" t="inlineStr">
        <is>
          <t>Value</t>
        </is>
      </c>
      <c r="C1" s="5" t="inlineStr">
        <is>
          <t>Note</t>
        </is>
      </c>
    </row>
    <row r="2">
      <c r="A2" s="6" t="inlineStr">
        <is>
          <t>As-at date</t>
        </is>
      </c>
      <c r="B2" s="7" t="n">
        <v>46203</v>
      </c>
      <c r="C2" s="8" t="inlineStr">
        <is>
          <t>Month end. Drives attestation ages and expiry countdowns</t>
        </is>
      </c>
    </row>
    <row r="3">
      <c r="A3" s="6" t="inlineStr">
        <is>
          <t>Attestation window (days)</t>
        </is>
      </c>
      <c r="B3" s="9" t="n">
        <v>120</v>
      </c>
      <c r="C3" s="8" t="inlineStr">
        <is>
          <t>Beyond this an object is stale and produces a finding</t>
        </is>
      </c>
    </row>
    <row r="4">
      <c r="A4" s="6" t="inlineStr">
        <is>
          <t>Object count ceiling</t>
        </is>
      </c>
      <c r="B4" s="9" t="n">
        <v>40</v>
      </c>
      <c r="C4" s="8" t="inlineStr">
        <is>
          <t>A soft limit that should be argued about, not silently exceeded</t>
        </is>
      </c>
    </row>
    <row r="5">
      <c r="A5" s="6" t="inlineStr">
        <is>
          <t>Attributes per object ceiling</t>
        </is>
      </c>
      <c r="B5" s="9" t="n">
        <v>15</v>
      </c>
      <c r="C5" s="8" t="inlineStr">
        <is>
          <t>The arguable subset only - never the schema</t>
        </is>
      </c>
    </row>
    <row r="6">
      <c r="A6" s="6" t="inlineStr">
        <is>
          <t>Warn before expiry (days)</t>
        </is>
      </c>
      <c r="B6" s="9" t="n">
        <v>60</v>
      </c>
      <c r="C6" s="8" t="inlineStr">
        <is>
          <t>How early a reference copy or dual-write window shows as due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0" t="inlineStr">
        <is>
          <t>Object to capability</t>
        </is>
      </c>
      <c r="B1" s="10" t="inlineStr">
        <is>
          <t>Master</t>
        </is>
      </c>
      <c r="C1" s="10" t="inlineStr">
        <is>
          <t>Proposed</t>
        </is>
      </c>
      <c r="D1" s="10" t="inlineStr">
        <is>
          <t>Public</t>
        </is>
      </c>
      <c r="E1" s="10" t="inlineStr">
        <is>
          <t>Group</t>
        </is>
      </c>
      <c r="F1" s="10" t="inlineStr">
        <is>
          <t>Open</t>
        </is>
      </c>
    </row>
    <row r="2">
      <c r="A2" s="10" t="inlineStr">
        <is>
          <t>Object to application</t>
        </is>
      </c>
      <c r="B2" s="10" t="inlineStr">
        <is>
          <t>Reference</t>
        </is>
      </c>
      <c r="C2" s="10" t="inlineStr">
        <is>
          <t>Active</t>
        </is>
      </c>
      <c r="D2" s="10" t="inlineStr">
        <is>
          <t>Internal</t>
        </is>
      </c>
      <c r="E2" s="10" t="inlineStr">
        <is>
          <t>Jurisdiction-scoped</t>
        </is>
      </c>
      <c r="F2" s="10" t="inlineStr">
        <is>
          <t>Closed</t>
        </is>
      </c>
    </row>
    <row r="3">
      <c r="A3" s="10" t="inlineStr">
        <is>
          <t>Object to IT component</t>
        </is>
      </c>
      <c r="B3" s="10" t="inlineStr">
        <is>
          <t>Consumer</t>
        </is>
      </c>
      <c r="C3" s="10" t="inlineStr">
        <is>
          <t>Contested</t>
        </is>
      </c>
      <c r="D3" s="10" t="inlineStr">
        <is>
          <t>Confidential</t>
        </is>
      </c>
      <c r="E3" s="10" t="inlineStr">
        <is>
          <t>Local</t>
        </is>
      </c>
      <c r="F3" s="10" t="inlineStr">
        <is>
          <t>Extended</t>
        </is>
      </c>
    </row>
    <row r="4">
      <c r="A4" s="10" t="inlineStr">
        <is>
          <t>Object to interface</t>
        </is>
      </c>
      <c r="B4" s="10" t="inlineStr">
        <is>
          <t>Owns lifecycle</t>
        </is>
      </c>
      <c r="C4" s="10" t="inlineStr">
        <is>
          <t>Retired</t>
        </is>
      </c>
      <c r="D4" s="10" t="inlineStr">
        <is>
          <t>Personal data</t>
        </is>
      </c>
      <c r="F4" s="10" t="inlineStr">
        <is>
          <t>Expired</t>
        </is>
      </c>
    </row>
    <row r="5">
      <c r="B5" s="10" t="inlineStr">
        <is>
          <t>Sits on</t>
        </is>
      </c>
    </row>
    <row r="6">
      <c r="B6" s="10" t="inlineStr">
        <is>
          <t>Carried by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34" customWidth="1" min="3" max="3"/>
    <col width="44" customWidth="1" min="4" max="4"/>
    <col width="42" customWidth="1" min="5" max="5"/>
    <col width="22" customWidth="1" min="6" max="6"/>
    <col width="22" customWidth="1" min="7" max="7"/>
    <col width="22" customWidth="1" min="8" max="8"/>
    <col width="20" customWidth="1" min="9" max="9"/>
    <col width="16" customWidth="1" min="10" max="10"/>
    <col width="22" customWidth="1" min="11" max="11"/>
    <col width="14" customWidth="1" min="12" max="12"/>
    <col width="12" customWidth="1" min="13" max="13"/>
    <col width="13" customWidth="1" min="14" max="14"/>
    <col width="15" customWidth="1" min="15" max="15"/>
    <col width="10" customWidth="1" min="16" max="16"/>
  </cols>
  <sheetData>
    <row r="1">
      <c r="A1" s="11" t="inlineStr">
        <is>
          <t>Obj ID</t>
        </is>
      </c>
      <c r="B1" s="11" t="inlineStr">
        <is>
          <t>Name</t>
        </is>
      </c>
      <c r="C1" s="11" t="inlineStr">
        <is>
          <t>Aliases</t>
        </is>
      </c>
      <c r="D1" s="11" t="inlineStr">
        <is>
          <t>Definition</t>
        </is>
      </c>
      <c r="E1" s="11" t="inlineStr">
        <is>
          <t>What this is not</t>
        </is>
      </c>
      <c r="F1" s="11" t="inlineStr">
        <is>
          <t>Owning capability</t>
        </is>
      </c>
      <c r="G1" s="11" t="inlineStr">
        <is>
          <t>Business owner</t>
        </is>
      </c>
      <c r="H1" s="11" t="inlineStr">
        <is>
          <t>Data steward</t>
        </is>
      </c>
      <c r="I1" s="11" t="inlineStr">
        <is>
          <t>System of record</t>
        </is>
      </c>
      <c r="J1" s="11" t="inlineStr">
        <is>
          <t>Classification</t>
        </is>
      </c>
      <c r="K1" s="11" t="inlineStr">
        <is>
          <t>Residency</t>
        </is>
      </c>
      <c r="L1" s="11" t="inlineStr">
        <is>
          <t>Retention</t>
        </is>
      </c>
      <c r="M1" s="11" t="inlineStr">
        <is>
          <t>Status</t>
        </is>
      </c>
      <c r="N1" s="11" t="inlineStr">
        <is>
          <t>Last attested</t>
        </is>
      </c>
      <c r="O1" s="11" t="inlineStr">
        <is>
          <t>Days since attested</t>
        </is>
      </c>
      <c r="P1" s="11" t="inlineStr">
        <is>
          <t>Stale?</t>
        </is>
      </c>
    </row>
    <row r="2">
      <c r="A2" s="12" t="inlineStr">
        <is>
          <t>OBJ-01</t>
        </is>
      </c>
      <c r="B2" s="12" t="inlineStr">
        <is>
          <t>Customer</t>
        </is>
      </c>
      <c r="C2" s="12" t="inlineStr">
        <is>
          <t>Account (CRM), Debtor (finance), Shopper (commerce), Card holder (loyalty)</t>
        </is>
      </c>
      <c r="D2" s="12" t="inlineStr">
        <is>
          <t>A person or organization that has bought from us, or has consented to be contacted with a view to buying</t>
        </is>
      </c>
      <c r="E2" s="12" t="inlineStr">
        <is>
          <t>Not a prospect with no consent. Not a delivery recipient. Not a loyalty account</t>
        </is>
      </c>
      <c r="F2" s="12" t="inlineStr">
        <is>
          <t>Customer management</t>
        </is>
      </c>
      <c r="G2" s="12" t="inlineStr">
        <is>
          <t>Head of CRM</t>
        </is>
      </c>
      <c r="H2" s="12" t="inlineStr">
        <is>
          <t>Named steward</t>
        </is>
      </c>
      <c r="I2" s="12" t="inlineStr">
        <is>
          <t>CRM</t>
        </is>
      </c>
      <c r="J2" s="12" t="inlineStr">
        <is>
          <t>Personal data</t>
        </is>
      </c>
      <c r="K2" s="12" t="inlineStr">
        <is>
          <t>Markets B, E, G in-country</t>
        </is>
      </c>
      <c r="L2" s="12" t="inlineStr">
        <is>
          <t>Per jurisdiction</t>
        </is>
      </c>
      <c r="M2" s="12" t="inlineStr">
        <is>
          <t>Active</t>
        </is>
      </c>
      <c r="N2" s="13" t="n">
        <v>46160</v>
      </c>
      <c r="O2" s="14">
        <f>IF(N2="",0,Settings!$B$2-N2)</f>
        <v/>
      </c>
      <c r="P2" s="15">
        <f>IF(A2="","",IF(N2="","never",IF(O2&gt;Settings!$B$3,"STALE","ok")))</f>
        <v/>
      </c>
    </row>
    <row r="3">
      <c r="A3" s="12" t="inlineStr">
        <is>
          <t>OBJ-02</t>
        </is>
      </c>
      <c r="B3" s="12" t="inlineStr">
        <is>
          <t>Material</t>
        </is>
      </c>
      <c r="C3" s="12" t="inlineStr">
        <is>
          <t>Article (commerce), SKU (planning), Produkt (market C)</t>
        </is>
      </c>
      <c r="D3" s="12" t="inlineStr">
        <is>
          <t>A thing we sell or consume, identified at the level we plan and price it</t>
        </is>
      </c>
      <c r="E3" s="12" t="inlineStr">
        <is>
          <t>Not a variant display grouping. Not a bill of materials</t>
        </is>
      </c>
      <c r="F3" s="12" t="inlineStr">
        <is>
          <t>Product management</t>
        </is>
      </c>
      <c r="G3" s="12" t="inlineStr">
        <is>
          <t>Head of master data</t>
        </is>
      </c>
      <c r="H3" s="12" t="inlineStr">
        <is>
          <t>Named steward</t>
        </is>
      </c>
      <c r="I3" s="12" t="inlineStr">
        <is>
          <t>Core ERP</t>
        </is>
      </c>
      <c r="J3" s="12" t="inlineStr">
        <is>
          <t>Internal</t>
        </is>
      </c>
      <c r="K3" s="12" t="inlineStr">
        <is>
          <t>None</t>
        </is>
      </c>
      <c r="L3" s="12" t="inlineStr">
        <is>
          <t>Indefinite</t>
        </is>
      </c>
      <c r="M3" s="12" t="inlineStr">
        <is>
          <t>Active</t>
        </is>
      </c>
      <c r="N3" s="13" t="n">
        <v>46175</v>
      </c>
      <c r="O3" s="14">
        <f>IF(N3="",0,Settings!$B$2-N3)</f>
        <v/>
      </c>
      <c r="P3" s="15">
        <f>IF(A3="","",IF(N3="","never",IF(O3&gt;Settings!$B$3,"STALE","ok")))</f>
        <v/>
      </c>
    </row>
    <row r="4">
      <c r="A4" s="12" t="inlineStr">
        <is>
          <t>OBJ-03</t>
        </is>
      </c>
      <c r="B4" s="12" t="inlineStr">
        <is>
          <t>Employee</t>
        </is>
      </c>
      <c r="C4" s="12" t="inlineStr">
        <is>
          <t>Worker (HR), Mitarbeiter (market C), User (identity)</t>
        </is>
      </c>
      <c r="D4" s="12" t="inlineStr">
        <is>
          <t>A person under an employment or equivalent contract with a group entity</t>
        </is>
      </c>
      <c r="E4" s="12" t="inlineStr">
        <is>
          <t>Not a contractor without a group contract. Not a system account</t>
        </is>
      </c>
      <c r="F4" s="12" t="inlineStr">
        <is>
          <t>People operations</t>
        </is>
      </c>
      <c r="G4" s="12" t="inlineStr">
        <is>
          <t>HR operations lead</t>
        </is>
      </c>
      <c r="H4" s="12" t="inlineStr">
        <is>
          <t>Named steward</t>
        </is>
      </c>
      <c r="I4" s="12" t="inlineStr">
        <is>
          <t>HR system</t>
        </is>
      </c>
      <c r="J4" s="12" t="inlineStr">
        <is>
          <t>Personal data</t>
        </is>
      </c>
      <c r="K4" s="12" t="inlineStr">
        <is>
          <t>All markets in-country</t>
        </is>
      </c>
      <c r="L4" s="12" t="inlineStr">
        <is>
          <t>Per jurisdiction</t>
        </is>
      </c>
      <c r="M4" s="12" t="inlineStr">
        <is>
          <t>Active</t>
        </is>
      </c>
      <c r="N4" s="13" t="n">
        <v>46141</v>
      </c>
      <c r="O4" s="14">
        <f>IF(N4="",0,Settings!$B$2-N4)</f>
        <v/>
      </c>
      <c r="P4" s="15">
        <f>IF(A4="","",IF(N4="","never",IF(O4&gt;Settings!$B$3,"STALE","ok")))</f>
        <v/>
      </c>
    </row>
    <row r="5">
      <c r="A5" s="12" t="inlineStr">
        <is>
          <t>OBJ-04</t>
        </is>
      </c>
      <c r="B5" s="12" t="inlineStr">
        <is>
          <t>Supplier</t>
        </is>
      </c>
      <c r="C5" s="12" t="inlineStr">
        <is>
          <t>Vendor (core, market A), Creditor (finance), Lieferant (market C), Partner (portal)</t>
        </is>
      </c>
      <c r="D5" s="12" t="inlineStr">
        <is>
          <t>A legal entity we can raise a purchase order against</t>
        </is>
      </c>
      <c r="E5" s="12" t="inlineStr">
        <is>
          <t>Not a manufacturer we buy through a distributor. Not a one-off payee. Not a carrier</t>
        </is>
      </c>
      <c r="F5" s="12" t="inlineStr">
        <is>
          <t>Source to contract</t>
        </is>
      </c>
      <c r="G5" s="12" t="inlineStr">
        <is>
          <t>Head of procurement ops</t>
        </is>
      </c>
      <c r="H5" s="12" t="inlineStr">
        <is>
          <t>Named steward</t>
        </is>
      </c>
      <c r="I5" s="12" t="inlineStr">
        <is>
          <t>Core ERP</t>
        </is>
      </c>
      <c r="J5" s="12" t="inlineStr">
        <is>
          <t>Internal</t>
        </is>
      </c>
      <c r="K5" s="12" t="inlineStr">
        <is>
          <t>Markets B, E in-country</t>
        </is>
      </c>
      <c r="L5" s="12" t="inlineStr">
        <is>
          <t>10 years</t>
        </is>
      </c>
      <c r="M5" s="12" t="inlineStr">
        <is>
          <t>Active</t>
        </is>
      </c>
      <c r="N5" s="13" t="n">
        <v>46184</v>
      </c>
      <c r="O5" s="14">
        <f>IF(N5="",0,Settings!$B$2-N5)</f>
        <v/>
      </c>
      <c r="P5" s="15">
        <f>IF(A5="","",IF(N5="","never",IF(O5&gt;Settings!$B$3,"STALE","ok")))</f>
        <v/>
      </c>
    </row>
    <row r="6">
      <c r="A6" s="12" t="inlineStr">
        <is>
          <t>OBJ-05</t>
        </is>
      </c>
      <c r="B6" s="12" t="inlineStr">
        <is>
          <t>Sales order</t>
        </is>
      </c>
      <c r="C6" s="12" t="inlineStr">
        <is>
          <t>Order (commerce), Auftrag (market C)</t>
        </is>
      </c>
      <c r="D6" s="12" t="inlineStr">
        <is>
          <t>A customer commitment to buy, at agreed terms, before fulfilment</t>
        </is>
      </c>
      <c r="E6" s="12" t="inlineStr">
        <is>
          <t>Not a quotation. Not a delivery</t>
        </is>
      </c>
      <c r="F6" s="12" t="inlineStr">
        <is>
          <t>Order management</t>
        </is>
      </c>
      <c r="G6" s="12" t="inlineStr">
        <is>
          <t>Head of order management</t>
        </is>
      </c>
      <c r="H6" s="12" t="inlineStr">
        <is>
          <t>Named steward</t>
        </is>
      </c>
      <c r="I6" s="12" t="inlineStr">
        <is>
          <t>Core ERP</t>
        </is>
      </c>
      <c r="J6" s="12" t="inlineStr">
        <is>
          <t>Internal</t>
        </is>
      </c>
      <c r="K6" s="12" t="inlineStr">
        <is>
          <t>None</t>
        </is>
      </c>
      <c r="L6" s="12" t="inlineStr">
        <is>
          <t>10 years</t>
        </is>
      </c>
      <c r="M6" s="12" t="inlineStr">
        <is>
          <t>Active</t>
        </is>
      </c>
      <c r="N6" s="13" t="n">
        <v>46146</v>
      </c>
      <c r="O6" s="14">
        <f>IF(N6="",0,Settings!$B$2-N6)</f>
        <v/>
      </c>
      <c r="P6" s="15">
        <f>IF(A6="","",IF(N6="","never",IF(O6&gt;Settings!$B$3,"STALE","ok")))</f>
        <v/>
      </c>
    </row>
    <row r="7">
      <c r="A7" s="12" t="inlineStr">
        <is>
          <t>OBJ-06</t>
        </is>
      </c>
      <c r="B7" s="12" t="inlineStr">
        <is>
          <t>Contract</t>
        </is>
      </c>
      <c r="C7" s="12" t="inlineStr">
        <is>
          <t>Agreement (legal), Rahmenvertrag (market C)</t>
        </is>
      </c>
      <c r="D7" s="12" t="inlineStr">
        <is>
          <t>A signed commercial agreement with an entity, with a term and obligations</t>
        </is>
      </c>
      <c r="E7" s="12" t="inlineStr">
        <is>
          <t>Not a purchase order. Not a statement of work under an existing agreement</t>
        </is>
      </c>
      <c r="F7" s="12" t="inlineStr">
        <is>
          <t>Source to contract</t>
        </is>
      </c>
      <c r="G7" s="12" t="inlineStr">
        <is>
          <t>Head of legal ops</t>
        </is>
      </c>
      <c r="H7" s="12" t="inlineStr">
        <is>
          <t>Named steward</t>
        </is>
      </c>
      <c r="I7" s="12" t="inlineStr">
        <is>
          <t>Contract system</t>
        </is>
      </c>
      <c r="J7" s="12" t="inlineStr">
        <is>
          <t>Confidential</t>
        </is>
      </c>
      <c r="K7" s="12" t="inlineStr">
        <is>
          <t>Market F in-country</t>
        </is>
      </c>
      <c r="L7" s="12" t="inlineStr">
        <is>
          <t>Term plus 10 years</t>
        </is>
      </c>
      <c r="M7" s="12" t="inlineStr">
        <is>
          <t>Active</t>
        </is>
      </c>
      <c r="N7" s="13" t="n">
        <v>46097</v>
      </c>
      <c r="O7" s="14">
        <f>IF(N7="",0,Settings!$B$2-N7)</f>
        <v/>
      </c>
      <c r="P7" s="15">
        <f>IF(A7="","",IF(N7="","never",IF(O7&gt;Settings!$B$3,"STALE","ok")))</f>
        <v/>
      </c>
    </row>
    <row r="8">
      <c r="A8" s="12" t="inlineStr">
        <is>
          <t>OBJ-07</t>
        </is>
      </c>
      <c r="B8" s="12" t="inlineStr">
        <is>
          <t>Price</t>
        </is>
      </c>
      <c r="C8" s="12" t="inlineStr">
        <is>
          <t>Listenpreis (market C), List price (commerce)</t>
        </is>
      </c>
      <c r="D8" s="12" t="inlineStr">
        <is>
          <t>The amount we ask for a material in a market on a date, before customer-specific conditions</t>
        </is>
      </c>
      <c r="E8" s="12" t="inlineStr">
        <is>
          <t>Not a cost. Not a promotion. Not the invoiced amount</t>
        </is>
      </c>
      <c r="F8" s="12" t="inlineStr">
        <is>
          <t>Pricing</t>
        </is>
      </c>
      <c r="G8" s="12" t="inlineStr">
        <is>
          <t>Head of pricing</t>
        </is>
      </c>
      <c r="H8" s="12" t="inlineStr">
        <is>
          <t>Named steward</t>
        </is>
      </c>
      <c r="I8" s="12" t="inlineStr">
        <is>
          <t>Core ERP</t>
        </is>
      </c>
      <c r="J8" s="12" t="inlineStr">
        <is>
          <t>Internal</t>
        </is>
      </c>
      <c r="K8" s="12" t="inlineStr">
        <is>
          <t>None</t>
        </is>
      </c>
      <c r="L8" s="12" t="inlineStr">
        <is>
          <t>5 years</t>
        </is>
      </c>
      <c r="M8" s="12" t="inlineStr">
        <is>
          <t>Contested</t>
        </is>
      </c>
      <c r="N8" s="13" t="n">
        <v>46182</v>
      </c>
      <c r="O8" s="14">
        <f>IF(N8="",0,Settings!$B$2-N8)</f>
        <v/>
      </c>
      <c r="P8" s="15">
        <f>IF(A8="","",IF(N8="","never",IF(O8&gt;Settings!$B$3,"STALE","ok")))</f>
        <v/>
      </c>
    </row>
    <row r="9">
      <c r="A9" s="12" t="inlineStr">
        <is>
          <t>OBJ-08</t>
        </is>
      </c>
      <c r="B9" s="12" t="inlineStr">
        <is>
          <t>Cost centre</t>
        </is>
      </c>
      <c r="C9" s="12" t="inlineStr">
        <is>
          <t>Kostenstelle (market C), Department (HR)</t>
        </is>
      </c>
      <c r="D9" s="12" t="inlineStr">
        <is>
          <t>A unit of the organization against which cost is booked</t>
        </is>
      </c>
      <c r="E9" s="12" t="inlineStr">
        <is>
          <t>Not a legal entity. Not a team in the org chart</t>
        </is>
      </c>
      <c r="F9" s="12" t="inlineStr">
        <is>
          <t>Finance operations</t>
        </is>
      </c>
      <c r="G9" s="12" t="inlineStr">
        <is>
          <t>Head of controlling</t>
        </is>
      </c>
      <c r="H9" s="12" t="inlineStr">
        <is>
          <t>Named steward</t>
        </is>
      </c>
      <c r="I9" s="12" t="inlineStr">
        <is>
          <t>Core ERP</t>
        </is>
      </c>
      <c r="J9" s="12" t="inlineStr">
        <is>
          <t>Internal</t>
        </is>
      </c>
      <c r="K9" s="12" t="inlineStr">
        <is>
          <t>None</t>
        </is>
      </c>
      <c r="L9" s="12" t="inlineStr">
        <is>
          <t>Indefinite</t>
        </is>
      </c>
      <c r="M9" s="12" t="inlineStr">
        <is>
          <t>Active</t>
        </is>
      </c>
      <c r="N9" s="13" t="n">
        <v>46077</v>
      </c>
      <c r="O9" s="14">
        <f>IF(N9="",0,Settings!$B$2-N9)</f>
        <v/>
      </c>
      <c r="P9" s="15">
        <f>IF(A9="","",IF(N9="","never",IF(O9&gt;Settings!$B$3,"STALE","ok")))</f>
        <v/>
      </c>
    </row>
    <row r="10">
      <c r="A10" s="12" t="inlineStr">
        <is>
          <t>OBJ-09</t>
        </is>
      </c>
      <c r="B10" s="12" t="inlineStr">
        <is>
          <t>Store</t>
        </is>
      </c>
      <c r="C10" s="12" t="inlineStr">
        <is>
          <t>Site, Filiale (market C), Location (logistics)</t>
        </is>
      </c>
      <c r="D10" s="12" t="inlineStr">
        <is>
          <t>A physical place where we trade with customers</t>
        </is>
      </c>
      <c r="E10" s="12" t="inlineStr">
        <is>
          <t>Not a warehouse. Not a legal entity</t>
        </is>
      </c>
      <c r="F10" s="12" t="inlineStr">
        <is>
          <t>Store operations</t>
        </is>
      </c>
      <c r="G10" s="12" t="inlineStr">
        <is>
          <t>Head of store ops</t>
        </is>
      </c>
      <c r="H10" s="12" t="inlineStr">
        <is>
          <t>Named steward</t>
        </is>
      </c>
      <c r="I10" s="12" t="inlineStr">
        <is>
          <t>Core ERP</t>
        </is>
      </c>
      <c r="J10" s="12" t="inlineStr">
        <is>
          <t>Internal</t>
        </is>
      </c>
      <c r="K10" s="12" t="inlineStr">
        <is>
          <t>None</t>
        </is>
      </c>
      <c r="L10" s="12" t="inlineStr">
        <is>
          <t>Indefinite</t>
        </is>
      </c>
      <c r="M10" s="12" t="inlineStr">
        <is>
          <t>Active</t>
        </is>
      </c>
      <c r="N10" s="13" t="n">
        <v>46188</v>
      </c>
      <c r="O10" s="14">
        <f>IF(N10="",0,Settings!$B$2-N10)</f>
        <v/>
      </c>
      <c r="P10" s="15">
        <f>IF(A10="","",IF(N10="","never",IF(O10&gt;Settings!$B$3,"STALE","ok")))</f>
        <v/>
      </c>
    </row>
    <row r="11">
      <c r="A11" s="12" t="inlineStr">
        <is>
          <t>OBJ-10</t>
        </is>
      </c>
      <c r="B11" s="12" t="inlineStr">
        <is>
          <t>Promotion</t>
        </is>
      </c>
      <c r="C11" s="12" t="inlineStr">
        <is>
          <t>Aktion (market C), Campaign (marketing)</t>
        </is>
      </c>
      <c r="D11" s="12" t="inlineStr">
        <is>
          <t>A time-bounded change to price or terms, targeted at a segment or channel</t>
        </is>
      </c>
      <c r="E11" s="12" t="inlineStr">
        <is>
          <t>Not a price. Not a loyalty offer to one customer</t>
        </is>
      </c>
      <c r="F11" s="12" t="inlineStr">
        <is>
          <t>Marketing</t>
        </is>
      </c>
      <c r="G11" s="12" t="inlineStr">
        <is>
          <t>Head of trade marketing</t>
        </is>
      </c>
      <c r="H11" s="12" t="inlineStr">
        <is>
          <t>Named steward</t>
        </is>
      </c>
      <c r="I11" s="12" t="inlineStr">
        <is>
          <t>Promotion tool</t>
        </is>
      </c>
      <c r="J11" s="12" t="inlineStr">
        <is>
          <t>Internal</t>
        </is>
      </c>
      <c r="K11" s="12" t="inlineStr">
        <is>
          <t>None</t>
        </is>
      </c>
      <c r="L11" s="12" t="inlineStr">
        <is>
          <t>3 years</t>
        </is>
      </c>
      <c r="M11" s="12" t="inlineStr">
        <is>
          <t>Active</t>
        </is>
      </c>
      <c r="N11" s="13" t="n">
        <v>45981</v>
      </c>
      <c r="O11" s="14">
        <f>IF(N11="",0,Settings!$B$2-N11)</f>
        <v/>
      </c>
      <c r="P11" s="15">
        <f>IF(A11="","",IF(N11="","never",IF(O11&gt;Settings!$B$3,"STALE","ok")))</f>
        <v/>
      </c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7">
        <f>IF(N12="",0,Settings!$B$2-N12)</f>
        <v/>
      </c>
      <c r="P12" s="18">
        <f>IF(A12="","",IF(N12="","never",IF(O12&gt;Settings!$B$3,"STALE","ok")))</f>
        <v/>
      </c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7">
        <f>IF(N13="",0,Settings!$B$2-N13)</f>
        <v/>
      </c>
      <c r="P13" s="18">
        <f>IF(A13="","",IF(N13="","never",IF(O13&gt;Settings!$B$3,"STALE","ok")))</f>
        <v/>
      </c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7">
        <f>IF(N14="",0,Settings!$B$2-N14)</f>
        <v/>
      </c>
      <c r="P14" s="18">
        <f>IF(A14="","",IF(N14="","never",IF(O14&gt;Settings!$B$3,"STALE","ok")))</f>
        <v/>
      </c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7">
        <f>IF(N15="",0,Settings!$B$2-N15)</f>
        <v/>
      </c>
      <c r="P15" s="18">
        <f>IF(A15="","",IF(N15="","never",IF(O15&gt;Settings!$B$3,"STALE","ok")))</f>
        <v/>
      </c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7">
        <f>IF(N16="",0,Settings!$B$2-N16)</f>
        <v/>
      </c>
      <c r="P16" s="18">
        <f>IF(A16="","",IF(N16="","never",IF(O16&gt;Settings!$B$3,"STALE","ok")))</f>
        <v/>
      </c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7">
        <f>IF(N17="",0,Settings!$B$2-N17)</f>
        <v/>
      </c>
      <c r="P17" s="18">
        <f>IF(A17="","",IF(N17="","never",IF(O17&gt;Settings!$B$3,"STALE","ok")))</f>
        <v/>
      </c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7">
        <f>IF(N18="",0,Settings!$B$2-N18)</f>
        <v/>
      </c>
      <c r="P18" s="18">
        <f>IF(A18="","",IF(N18="","never",IF(O18&gt;Settings!$B$3,"STALE","ok")))</f>
        <v/>
      </c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7">
        <f>IF(N19="",0,Settings!$B$2-N19)</f>
        <v/>
      </c>
      <c r="P19" s="18">
        <f>IF(A19="","",IF(N19="","never",IF(O19&gt;Settings!$B$3,"STALE","ok")))</f>
        <v/>
      </c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7">
        <f>IF(N20="",0,Settings!$B$2-N20)</f>
        <v/>
      </c>
      <c r="P20" s="18">
        <f>IF(A20="","",IF(N20="","never",IF(O20&gt;Settings!$B$3,"STALE","ok")))</f>
        <v/>
      </c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7">
        <f>IF(N21="",0,Settings!$B$2-N21)</f>
        <v/>
      </c>
      <c r="P21" s="18">
        <f>IF(A21="","",IF(N21="","never",IF(O21&gt;Settings!$B$3,"STALE","ok")))</f>
        <v/>
      </c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>
        <f>IF(N22="",0,Settings!$B$2-N22)</f>
        <v/>
      </c>
      <c r="P22" s="18">
        <f>IF(A22="","",IF(N22="","never",IF(O22&gt;Settings!$B$3,"STALE","ok")))</f>
        <v/>
      </c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7">
        <f>IF(N23="",0,Settings!$B$2-N23)</f>
        <v/>
      </c>
      <c r="P23" s="18">
        <f>IF(A23="","",IF(N23="","never",IF(O23&gt;Settings!$B$3,"STALE","ok")))</f>
        <v/>
      </c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7">
        <f>IF(N24="",0,Settings!$B$2-N24)</f>
        <v/>
      </c>
      <c r="P24" s="18">
        <f>IF(A24="","",IF(N24="","never",IF(O24&gt;Settings!$B$3,"STALE","ok")))</f>
        <v/>
      </c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7">
        <f>IF(N25="",0,Settings!$B$2-N25)</f>
        <v/>
      </c>
      <c r="P25" s="18">
        <f>IF(A25="","",IF(N25="","never",IF(O25&gt;Settings!$B$3,"STALE","ok")))</f>
        <v/>
      </c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7">
        <f>IF(N26="",0,Settings!$B$2-N26)</f>
        <v/>
      </c>
      <c r="P26" s="18">
        <f>IF(A26="","",IF(N26="","never",IF(O26&gt;Settings!$B$3,"STALE","ok")))</f>
        <v/>
      </c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7">
        <f>IF(N27="",0,Settings!$B$2-N27)</f>
        <v/>
      </c>
      <c r="P27" s="18">
        <f>IF(A27="","",IF(N27="","never",IF(O27&gt;Settings!$B$3,"STALE","ok")))</f>
        <v/>
      </c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>
        <f>IF(N28="",0,Settings!$B$2-N28)</f>
        <v/>
      </c>
      <c r="P28" s="18">
        <f>IF(A28="","",IF(N28="","never",IF(O28&gt;Settings!$B$3,"STALE","ok")))</f>
        <v/>
      </c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7">
        <f>IF(N29="",0,Settings!$B$2-N29)</f>
        <v/>
      </c>
      <c r="P29" s="18">
        <f>IF(A29="","",IF(N29="","never",IF(O29&gt;Settings!$B$3,"STALE","ok")))</f>
        <v/>
      </c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7">
        <f>IF(N30="",0,Settings!$B$2-N30)</f>
        <v/>
      </c>
      <c r="P30" s="18">
        <f>IF(A30="","",IF(N30="","never",IF(O30&gt;Settings!$B$3,"STALE","ok")))</f>
        <v/>
      </c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7">
        <f>IF(N31="",0,Settings!$B$2-N31)</f>
        <v/>
      </c>
      <c r="P31" s="18">
        <f>IF(A31="","",IF(N31="","never",IF(O31&gt;Settings!$B$3,"STALE","ok")))</f>
        <v/>
      </c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7">
        <f>IF(N32="",0,Settings!$B$2-N32)</f>
        <v/>
      </c>
      <c r="P32" s="18">
        <f>IF(A32="","",IF(N32="","never",IF(O32&gt;Settings!$B$3,"STALE","ok")))</f>
        <v/>
      </c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7">
        <f>IF(N33="",0,Settings!$B$2-N33)</f>
        <v/>
      </c>
      <c r="P33" s="18">
        <f>IF(A33="","",IF(N33="","never",IF(O33&gt;Settings!$B$3,"STALE","ok")))</f>
        <v/>
      </c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>
        <f>IF(N34="",0,Settings!$B$2-N34)</f>
        <v/>
      </c>
      <c r="P34" s="18">
        <f>IF(A34="","",IF(N34="","never",IF(O34&gt;Settings!$B$3,"STALE","ok")))</f>
        <v/>
      </c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7">
        <f>IF(N35="",0,Settings!$B$2-N35)</f>
        <v/>
      </c>
      <c r="P35" s="18">
        <f>IF(A35="","",IF(N35="","never",IF(O35&gt;Settings!$B$3,"STALE","ok")))</f>
        <v/>
      </c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7">
        <f>IF(N36="",0,Settings!$B$2-N36)</f>
        <v/>
      </c>
      <c r="P36" s="18">
        <f>IF(A36="","",IF(N36="","never",IF(O36&gt;Settings!$B$3,"STALE","ok")))</f>
        <v/>
      </c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7">
        <f>IF(N37="",0,Settings!$B$2-N37)</f>
        <v/>
      </c>
      <c r="P37" s="18">
        <f>IF(A37="","",IF(N37="","never",IF(O37&gt;Settings!$B$3,"STALE","ok")))</f>
        <v/>
      </c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7">
        <f>IF(N38="",0,Settings!$B$2-N38)</f>
        <v/>
      </c>
      <c r="P38" s="18">
        <f>IF(A38="","",IF(N38="","never",IF(O38&gt;Settings!$B$3,"STALE","ok")))</f>
        <v/>
      </c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7">
        <f>IF(N39="",0,Settings!$B$2-N39)</f>
        <v/>
      </c>
      <c r="P39" s="18">
        <f>IF(A39="","",IF(N39="","never",IF(O39&gt;Settings!$B$3,"STALE","ok")))</f>
        <v/>
      </c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>
        <f>IF(N40="",0,Settings!$B$2-N40)</f>
        <v/>
      </c>
      <c r="P40" s="18">
        <f>IF(A40="","",IF(N40="","never",IF(O40&gt;Settings!$B$3,"STALE","ok")))</f>
        <v/>
      </c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7">
        <f>IF(N41="",0,Settings!$B$2-N41)</f>
        <v/>
      </c>
      <c r="P41" s="18">
        <f>IF(A41="","",IF(N41="","never",IF(O41&gt;Settings!$B$3,"STALE","ok")))</f>
        <v/>
      </c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7">
        <f>IF(N42="",0,Settings!$B$2-N42)</f>
        <v/>
      </c>
      <c r="P42" s="18">
        <f>IF(A42="","",IF(N42="","never",IF(O42&gt;Settings!$B$3,"STALE","ok")))</f>
        <v/>
      </c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7">
        <f>IF(N43="",0,Settings!$B$2-N43)</f>
        <v/>
      </c>
      <c r="P43" s="18">
        <f>IF(A43="","",IF(N43="","never",IF(O43&gt;Settings!$B$3,"STALE","ok")))</f>
        <v/>
      </c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7">
        <f>IF(N44="",0,Settings!$B$2-N44)</f>
        <v/>
      </c>
      <c r="P44" s="18">
        <f>IF(A44="","",IF(N44="","never",IF(O44&gt;Settings!$B$3,"STALE","ok")))</f>
        <v/>
      </c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7">
        <f>IF(N45="",0,Settings!$B$2-N45)</f>
        <v/>
      </c>
      <c r="P45" s="18">
        <f>IF(A45="","",IF(N45="","never",IF(O45&gt;Settings!$B$3,"STALE","ok")))</f>
        <v/>
      </c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>
        <f>IF(N46="",0,Settings!$B$2-N46)</f>
        <v/>
      </c>
      <c r="P46" s="18">
        <f>IF(A46="","",IF(N46="","never",IF(O46&gt;Settings!$B$3,"STALE","ok")))</f>
        <v/>
      </c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7">
        <f>IF(N47="",0,Settings!$B$2-N47)</f>
        <v/>
      </c>
      <c r="P47" s="18">
        <f>IF(A47="","",IF(N47="","never",IF(O47&gt;Settings!$B$3,"STALE","ok")))</f>
        <v/>
      </c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7">
        <f>IF(N48="",0,Settings!$B$2-N48)</f>
        <v/>
      </c>
      <c r="P48" s="18">
        <f>IF(A48="","",IF(N48="","never",IF(O48&gt;Settings!$B$3,"STALE","ok")))</f>
        <v/>
      </c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7">
        <f>IF(N49="",0,Settings!$B$2-N49)</f>
        <v/>
      </c>
      <c r="P49" s="18">
        <f>IF(A49="","",IF(N49="","never",IF(O49&gt;Settings!$B$3,"STALE","ok")))</f>
        <v/>
      </c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7">
        <f>IF(N50="",0,Settings!$B$2-N50)</f>
        <v/>
      </c>
      <c r="P50" s="18">
        <f>IF(A50="","",IF(N50="","never",IF(O50&gt;Settings!$B$3,"STALE","ok")))</f>
        <v/>
      </c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7">
        <f>IF(N51="",0,Settings!$B$2-N51)</f>
        <v/>
      </c>
      <c r="P51" s="18">
        <f>IF(A51="","",IF(N51="","never",IF(O51&gt;Settings!$B$3,"STALE","ok")))</f>
        <v/>
      </c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7">
        <f>IF(N52="",0,Settings!$B$2-N52)</f>
        <v/>
      </c>
      <c r="P52" s="18">
        <f>IF(A52="","",IF(N52="","never",IF(O52&gt;Settings!$B$3,"STALE","ok")))</f>
        <v/>
      </c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7">
        <f>IF(N53="",0,Settings!$B$2-N53)</f>
        <v/>
      </c>
      <c r="P53" s="18">
        <f>IF(A53="","",IF(N53="","never",IF(O53&gt;Settings!$B$3,"STALE","ok")))</f>
        <v/>
      </c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7">
        <f>IF(N54="",0,Settings!$B$2-N54)</f>
        <v/>
      </c>
      <c r="P54" s="18">
        <f>IF(A54="","",IF(N54="","never",IF(O54&gt;Settings!$B$3,"STALE","ok")))</f>
        <v/>
      </c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>
        <f>IF(N55="",0,Settings!$B$2-N55)</f>
        <v/>
      </c>
      <c r="P55" s="18">
        <f>IF(A55="","",IF(N55="","never",IF(O55&gt;Settings!$B$3,"STALE","ok")))</f>
        <v/>
      </c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7">
        <f>IF(N56="",0,Settings!$B$2-N56)</f>
        <v/>
      </c>
      <c r="P56" s="18">
        <f>IF(A56="","",IF(N56="","never",IF(O56&gt;Settings!$B$3,"STALE","ok")))</f>
        <v/>
      </c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7">
        <f>IF(N57="",0,Settings!$B$2-N57)</f>
        <v/>
      </c>
      <c r="P57" s="18">
        <f>IF(A57="","",IF(N57="","never",IF(O57&gt;Settings!$B$3,"STALE","ok")))</f>
        <v/>
      </c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7">
        <f>IF(N58="",0,Settings!$B$2-N58)</f>
        <v/>
      </c>
      <c r="P58" s="18">
        <f>IF(A58="","",IF(N58="","never",IF(O58&gt;Settings!$B$3,"STALE","ok")))</f>
        <v/>
      </c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7">
        <f>IF(N59="",0,Settings!$B$2-N59)</f>
        <v/>
      </c>
      <c r="P59" s="18">
        <f>IF(A59="","",IF(N59="","never",IF(O59&gt;Settings!$B$3,"STALE","ok")))</f>
        <v/>
      </c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7">
        <f>IF(N60="",0,Settings!$B$2-N60)</f>
        <v/>
      </c>
      <c r="P60" s="18">
        <f>IF(A60="","",IF(N60="","never",IF(O60&gt;Settings!$B$3,"STALE","ok")))</f>
        <v/>
      </c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7">
        <f>IF(N61="",0,Settings!$B$2-N61)</f>
        <v/>
      </c>
      <c r="P61" s="18">
        <f>IF(A61="","",IF(N61="","never",IF(O61&gt;Settings!$B$3,"STALE","ok")))</f>
        <v/>
      </c>
    </row>
  </sheetData>
  <autoFilter ref="A1:P61"/>
  <conditionalFormatting sqref="P2:P61">
    <cfRule type="cellIs" priority="1" operator="equal" dxfId="0">
      <formula>"STALE"</formula>
    </cfRule>
    <cfRule type="cellIs" priority="2" operator="equal" dxfId="1">
      <formula>"ok"</formula>
    </cfRule>
  </conditionalFormatting>
  <conditionalFormatting sqref="M2:M61">
    <cfRule type="cellIs" priority="3" operator="equal" dxfId="2">
      <formula>"Contested"</formula>
    </cfRule>
  </conditionalFormatting>
  <dataValidations count="2">
    <dataValidation sqref="J2:J61" showDropDown="0" showInputMessage="0" showErrorMessage="0" allowBlank="1" type="list">
      <formula1>=Lists!$D$1:$D$4</formula1>
    </dataValidation>
    <dataValidation sqref="M2:M61" showDropDown="0" showInputMessage="0" showErrorMessage="0" allowBlank="1" type="list">
      <formula1>=Lists!$C$1:$C$4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20" customWidth="1" min="3" max="3"/>
    <col width="24" customWidth="1" min="4" max="4"/>
    <col width="12" customWidth="1" min="5" max="5"/>
    <col width="44" customWidth="1" min="6" max="6"/>
    <col width="32" customWidth="1" min="7" max="7"/>
    <col width="13" customWidth="1" min="8" max="8"/>
    <col width="32" customWidth="1" min="9" max="9"/>
  </cols>
  <sheetData>
    <row r="1">
      <c r="A1" s="11" t="inlineStr">
        <is>
          <t>Obj ID</t>
        </is>
      </c>
      <c r="B1" s="11" t="inlineStr">
        <is>
          <t>Attribute</t>
        </is>
      </c>
      <c r="C1" s="11" t="inlineStr">
        <is>
          <t>Scope</t>
        </is>
      </c>
      <c r="D1" s="11" t="inlineStr">
        <is>
          <t>Jurisdictions</t>
        </is>
      </c>
      <c r="E1" s="11" t="inlineStr">
        <is>
          <t>Mandatory?</t>
        </is>
      </c>
      <c r="F1" s="11" t="inlineStr">
        <is>
          <t>The decision it feeds</t>
        </is>
      </c>
      <c r="G1" s="11" t="inlineStr">
        <is>
          <t>Quality rule</t>
        </is>
      </c>
      <c r="H1" s="11" t="inlineStr">
        <is>
          <t>Current value</t>
        </is>
      </c>
      <c r="I1" s="11" t="inlineStr">
        <is>
          <t>Note</t>
        </is>
      </c>
    </row>
    <row r="2">
      <c r="A2" s="12" t="inlineStr">
        <is>
          <t>OBJ-04</t>
        </is>
      </c>
      <c r="B2" s="12" t="inlineStr">
        <is>
          <t>Supplier number</t>
        </is>
      </c>
      <c r="C2" s="12" t="inlineStr">
        <is>
          <t>Group</t>
        </is>
      </c>
      <c r="D2" s="12" t="inlineStr"/>
      <c r="E2" s="12" t="inlineStr">
        <is>
          <t>Yes</t>
        </is>
      </c>
      <c r="F2" s="12" t="inlineStr">
        <is>
          <t>Every match, migration and cross-reference</t>
        </is>
      </c>
      <c r="G2" s="12" t="inlineStr">
        <is>
          <t>Unique, non-blank</t>
        </is>
      </c>
      <c r="H2" s="12" t="inlineStr">
        <is>
          <t>100%</t>
        </is>
      </c>
      <c r="I2" s="12" t="inlineStr"/>
    </row>
    <row r="3">
      <c r="A3" s="12" t="inlineStr">
        <is>
          <t>OBJ-04</t>
        </is>
      </c>
      <c r="B3" s="12" t="inlineStr">
        <is>
          <t>Legal name</t>
        </is>
      </c>
      <c r="C3" s="12" t="inlineStr">
        <is>
          <t>Group</t>
        </is>
      </c>
      <c r="D3" s="12" t="inlineStr"/>
      <c r="E3" s="12" t="inlineStr">
        <is>
          <t>Yes</t>
        </is>
      </c>
      <c r="F3" s="12" t="inlineStr">
        <is>
          <t>Whether two records are the same entity</t>
        </is>
      </c>
      <c r="G3" s="12" t="inlineStr">
        <is>
          <t>Non-blank</t>
        </is>
      </c>
      <c r="H3" s="12" t="inlineStr">
        <is>
          <t>99.8%</t>
        </is>
      </c>
      <c r="I3" s="12" t="inlineStr"/>
    </row>
    <row r="4">
      <c r="A4" s="12" t="inlineStr">
        <is>
          <t>OBJ-04</t>
        </is>
      </c>
      <c r="B4" s="12" t="inlineStr">
        <is>
          <t>Tax identifier</t>
        </is>
      </c>
      <c r="C4" s="12" t="inlineStr">
        <is>
          <t>Jurisdiction-scoped</t>
        </is>
      </c>
      <c r="D4" s="12" t="inlineStr">
        <is>
          <t>Markets A, B, C, E, F</t>
        </is>
      </c>
      <c r="E4" s="12" t="inlineStr">
        <is>
          <t>Yes</t>
        </is>
      </c>
      <c r="F4" s="12" t="inlineStr">
        <is>
          <t>Whether we may pay them, and statutory reporting</t>
        </is>
      </c>
      <c r="G4" s="12" t="inlineStr">
        <is>
          <t>Format valid per market</t>
        </is>
      </c>
      <c r="H4" s="12" t="inlineStr">
        <is>
          <t>94%</t>
        </is>
      </c>
      <c r="I4" s="12" t="inlineStr">
        <is>
          <t>Format differs per market - one rule, five patterns</t>
        </is>
      </c>
    </row>
    <row r="5">
      <c r="A5" s="12" t="inlineStr">
        <is>
          <t>OBJ-04</t>
        </is>
      </c>
      <c r="B5" s="12" t="inlineStr">
        <is>
          <t>Statutory address</t>
        </is>
      </c>
      <c r="C5" s="12" t="inlineStr">
        <is>
          <t>Jurisdiction-scoped</t>
        </is>
      </c>
      <c r="D5" s="12" t="inlineStr">
        <is>
          <t>Markets B, E</t>
        </is>
      </c>
      <c r="E5" s="12" t="inlineStr">
        <is>
          <t>Yes</t>
        </is>
      </c>
      <c r="F5" s="12" t="inlineStr">
        <is>
          <t>Statutory reporting in two markets</t>
        </is>
      </c>
      <c r="G5" s="12" t="inlineStr">
        <is>
          <t>Non-blank where in scope</t>
        </is>
      </c>
      <c r="H5" s="12" t="inlineStr">
        <is>
          <t>91%</t>
        </is>
      </c>
      <c r="I5" s="12" t="inlineStr"/>
    </row>
    <row r="6">
      <c r="A6" s="12" t="inlineStr">
        <is>
          <t>OBJ-04</t>
        </is>
      </c>
      <c r="B6" s="12" t="inlineStr">
        <is>
          <t>Payment reporting flag</t>
        </is>
      </c>
      <c r="C6" s="12" t="inlineStr">
        <is>
          <t>Jurisdiction-scoped</t>
        </is>
      </c>
      <c r="D6" s="12" t="inlineStr">
        <is>
          <t>Market E</t>
        </is>
      </c>
      <c r="E6" s="12" t="inlineStr">
        <is>
          <t>No</t>
        </is>
      </c>
      <c r="F6" s="12" t="inlineStr">
        <is>
          <t>A statutory return in one market</t>
        </is>
      </c>
      <c r="G6" s="12" t="inlineStr">
        <is>
          <t>Set where in scope</t>
        </is>
      </c>
      <c r="H6" s="12" t="inlineStr">
        <is>
          <t>88%</t>
        </is>
      </c>
      <c r="I6" s="12" t="inlineStr">
        <is>
          <t>Built once in the localization layer, not per market</t>
        </is>
      </c>
    </row>
    <row r="7">
      <c r="A7" s="12" t="inlineStr">
        <is>
          <t>OBJ-04</t>
        </is>
      </c>
      <c r="B7" s="12" t="inlineStr">
        <is>
          <t>Payment terms</t>
        </is>
      </c>
      <c r="C7" s="12" t="inlineStr">
        <is>
          <t>Group</t>
        </is>
      </c>
      <c r="D7" s="12" t="inlineStr"/>
      <c r="E7" s="12" t="inlineStr">
        <is>
          <t>Yes</t>
        </is>
      </c>
      <c r="F7" s="12" t="inlineStr">
        <is>
          <t>Cash flow forecasting, and the invoice due date</t>
        </is>
      </c>
      <c r="G7" s="12" t="inlineStr">
        <is>
          <t>Within the approved set</t>
        </is>
      </c>
      <c r="H7" s="12" t="inlineStr">
        <is>
          <t>97%</t>
        </is>
      </c>
      <c r="I7" s="12" t="inlineStr"/>
    </row>
    <row r="8">
      <c r="A8" s="12" t="inlineStr">
        <is>
          <t>OBJ-04</t>
        </is>
      </c>
      <c r="B8" s="12" t="inlineStr">
        <is>
          <t>Blocked flag and reason</t>
        </is>
      </c>
      <c r="C8" s="12" t="inlineStr">
        <is>
          <t>Group</t>
        </is>
      </c>
      <c r="D8" s="12" t="inlineStr"/>
      <c r="E8" s="12" t="inlineStr">
        <is>
          <t>Yes</t>
        </is>
      </c>
      <c r="F8" s="12" t="inlineStr">
        <is>
          <t>Whether a purchase order may be raised at all</t>
        </is>
      </c>
      <c r="G8" s="12" t="inlineStr">
        <is>
          <t>Reason present when blocked</t>
        </is>
      </c>
      <c r="H8" s="12" t="inlineStr">
        <is>
          <t>93%</t>
        </is>
      </c>
      <c r="I8" s="12" t="inlineStr"/>
    </row>
    <row r="9">
      <c r="A9" s="12" t="inlineStr">
        <is>
          <t>OBJ-04</t>
        </is>
      </c>
      <c r="B9" s="12" t="inlineStr">
        <is>
          <t>Category</t>
        </is>
      </c>
      <c r="C9" s="12" t="inlineStr">
        <is>
          <t>Group</t>
        </is>
      </c>
      <c r="D9" s="12" t="inlineStr"/>
      <c r="E9" s="12" t="inlineStr">
        <is>
          <t>No</t>
        </is>
      </c>
      <c r="F9" s="12" t="inlineStr">
        <is>
          <t>Spend analysis and sourcing strategy</t>
        </is>
      </c>
      <c r="G9" s="12" t="inlineStr">
        <is>
          <t>In the taxonomy</t>
        </is>
      </c>
      <c r="H9" s="12" t="inlineStr">
        <is>
          <t>82%</t>
        </is>
      </c>
      <c r="I9" s="12" t="inlineStr">
        <is>
          <t>Weakest attribute; the sourcing team is fixing it</t>
        </is>
      </c>
    </row>
    <row r="10">
      <c r="A10" s="12" t="inlineStr">
        <is>
          <t>OBJ-01</t>
        </is>
      </c>
      <c r="B10" s="12" t="inlineStr">
        <is>
          <t>Customer identifier</t>
        </is>
      </c>
      <c r="C10" s="12" t="inlineStr">
        <is>
          <t>Group</t>
        </is>
      </c>
      <c r="D10" s="12" t="inlineStr"/>
      <c r="E10" s="12" t="inlineStr">
        <is>
          <t>Yes</t>
        </is>
      </c>
      <c r="F10" s="12" t="inlineStr">
        <is>
          <t>Every join across CRM, commerce and finance</t>
        </is>
      </c>
      <c r="G10" s="12" t="inlineStr">
        <is>
          <t>Unique</t>
        </is>
      </c>
      <c r="H10" s="12" t="inlineStr">
        <is>
          <t>100%</t>
        </is>
      </c>
      <c r="I10" s="12" t="inlineStr"/>
    </row>
    <row r="11">
      <c r="A11" s="12" t="inlineStr">
        <is>
          <t>OBJ-01</t>
        </is>
      </c>
      <c r="B11" s="12" t="inlineStr">
        <is>
          <t>Consent record</t>
        </is>
      </c>
      <c r="C11" s="12" t="inlineStr">
        <is>
          <t>Jurisdiction-scoped</t>
        </is>
      </c>
      <c r="D11" s="12" t="inlineStr">
        <is>
          <t>All</t>
        </is>
      </c>
      <c r="E11" s="12" t="inlineStr">
        <is>
          <t>Yes</t>
        </is>
      </c>
      <c r="F11" s="12" t="inlineStr">
        <is>
          <t>Whether we may contact them at all</t>
        </is>
      </c>
      <c r="G11" s="12" t="inlineStr">
        <is>
          <t>Present with a timestamp and basis</t>
        </is>
      </c>
      <c r="H11" s="12" t="inlineStr">
        <is>
          <t>96%</t>
        </is>
      </c>
      <c r="I11" s="12" t="inlineStr">
        <is>
          <t>Legal basis differs by jurisdiction</t>
        </is>
      </c>
    </row>
    <row r="12">
      <c r="A12" s="12" t="inlineStr">
        <is>
          <t>OBJ-01</t>
        </is>
      </c>
      <c r="B12" s="12" t="inlineStr">
        <is>
          <t>Country of residence</t>
        </is>
      </c>
      <c r="C12" s="12" t="inlineStr">
        <is>
          <t>Group</t>
        </is>
      </c>
      <c r="D12" s="12" t="inlineStr"/>
      <c r="E12" s="12" t="inlineStr">
        <is>
          <t>Yes</t>
        </is>
      </c>
      <c r="F12" s="12" t="inlineStr">
        <is>
          <t>Which residency and retention rules apply</t>
        </is>
      </c>
      <c r="G12" s="12" t="inlineStr">
        <is>
          <t>Non-blank, ISO code</t>
        </is>
      </c>
      <c r="H12" s="12" t="inlineStr">
        <is>
          <t>99%</t>
        </is>
      </c>
      <c r="I12" s="12" t="inlineStr">
        <is>
          <t>This attribute is what makes the residency query answerable</t>
        </is>
      </c>
    </row>
    <row r="13">
      <c r="A13" s="12" t="inlineStr">
        <is>
          <t>OBJ-07</t>
        </is>
      </c>
      <c r="B13" s="12" t="inlineStr">
        <is>
          <t>Price value and currency</t>
        </is>
      </c>
      <c r="C13" s="12" t="inlineStr">
        <is>
          <t>Group</t>
        </is>
      </c>
      <c r="D13" s="12" t="inlineStr"/>
      <c r="E13" s="12" t="inlineStr">
        <is>
          <t>Yes</t>
        </is>
      </c>
      <c r="F13" s="12" t="inlineStr">
        <is>
          <t>Everything downstream of pricing</t>
        </is>
      </c>
      <c r="G13" s="12" t="inlineStr">
        <is>
          <t>Non-blank, positive</t>
        </is>
      </c>
      <c r="H13" s="12" t="inlineStr">
        <is>
          <t>100%</t>
        </is>
      </c>
      <c r="I13" s="12" t="inlineStr"/>
    </row>
    <row r="14">
      <c r="A14" s="12" t="inlineStr">
        <is>
          <t>OBJ-07</t>
        </is>
      </c>
      <c r="B14" s="12" t="inlineStr">
        <is>
          <t>Valid from and to</t>
        </is>
      </c>
      <c r="C14" s="12" t="inlineStr">
        <is>
          <t>Group</t>
        </is>
      </c>
      <c r="D14" s="12" t="inlineStr"/>
      <c r="E14" s="12" t="inlineStr">
        <is>
          <t>Yes</t>
        </is>
      </c>
      <c r="F14" s="12" t="inlineStr">
        <is>
          <t>Which price applies on a date</t>
        </is>
      </c>
      <c r="G14" s="12" t="inlineStr">
        <is>
          <t>No overlapping ranges</t>
        </is>
      </c>
      <c r="H14" s="12" t="inlineStr">
        <is>
          <t>89%</t>
        </is>
      </c>
      <c r="I14" s="12" t="inlineStr">
        <is>
          <t>Overlaps are the most common pricing incident</t>
        </is>
      </c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</row>
    <row r="20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</row>
    <row r="21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</row>
    <row r="23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</row>
    <row r="25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</row>
    <row r="2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</row>
    <row r="30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</row>
    <row r="31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</row>
    <row r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</row>
    <row r="33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</row>
    <row r="34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</row>
    <row r="36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</row>
    <row r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</row>
    <row r="38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</row>
    <row r="40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</row>
    <row r="41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</row>
    <row r="42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</row>
    <row r="43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  <row r="46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</row>
    <row r="47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</row>
    <row r="48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</row>
    <row r="4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</row>
    <row r="50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</row>
    <row r="51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</row>
    <row r="52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</row>
    <row r="53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</row>
    <row r="54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</row>
    <row r="55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</row>
    <row r="56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</row>
    <row r="57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</row>
    <row r="58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</row>
    <row r="5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</row>
    <row r="60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</row>
    <row r="6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</row>
    <row r="62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</row>
    <row r="63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</row>
    <row r="64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</row>
    <row r="65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</row>
    <row r="66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</row>
    <row r="67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</row>
    <row r="68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</row>
    <row r="6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</row>
    <row r="70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</row>
    <row r="71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</row>
    <row r="72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</row>
    <row r="73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</row>
    <row r="74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</row>
    <row r="75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</row>
    <row r="76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</row>
    <row r="77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</row>
    <row r="78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</row>
    <row r="7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</row>
    <row r="80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</row>
    <row r="81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</row>
    <row r="82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</row>
    <row r="83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</row>
    <row r="84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</row>
    <row r="85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</row>
    <row r="86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</row>
    <row r="87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</row>
    <row r="88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</row>
    <row r="8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</row>
    <row r="90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</row>
    <row r="91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</row>
    <row r="92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</row>
    <row r="93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</row>
    <row r="94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</row>
    <row r="95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</row>
    <row r="96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</row>
    <row r="97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</row>
    <row r="98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</row>
    <row r="9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</row>
    <row r="100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</row>
    <row r="101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</row>
    <row r="102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</row>
    <row r="103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</row>
    <row r="104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</row>
    <row r="105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</row>
    <row r="106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</row>
    <row r="107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</row>
    <row r="108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</row>
    <row r="10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</row>
    <row r="110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</row>
    <row r="111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</row>
    <row r="112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</row>
    <row r="113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</row>
    <row r="114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</row>
    <row r="115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</row>
    <row r="116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</row>
    <row r="117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</row>
    <row r="118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</row>
    <row r="11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</row>
    <row r="120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</row>
    <row r="121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</row>
    <row r="122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</row>
    <row r="123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</row>
    <row r="124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</row>
    <row r="125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</row>
    <row r="126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</row>
    <row r="127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</row>
    <row r="128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</row>
    <row r="12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</row>
    <row r="130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</row>
    <row r="131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</row>
    <row r="132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</row>
    <row r="133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</row>
    <row r="134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</row>
    <row r="135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</row>
    <row r="136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</row>
    <row r="137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</row>
    <row r="138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</row>
    <row r="1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</row>
    <row r="140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</row>
    <row r="141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</row>
    <row r="14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</row>
    <row r="143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</row>
    <row r="144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</row>
    <row r="145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</row>
    <row r="146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</row>
    <row r="147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</row>
    <row r="148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</row>
    <row r="14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</row>
    <row r="150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</row>
    <row r="151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</row>
    <row r="152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</row>
    <row r="153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</row>
    <row r="154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</row>
    <row r="155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</row>
    <row r="156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</row>
    <row r="157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</row>
    <row r="158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</row>
    <row r="15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</row>
    <row r="160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</row>
    <row r="161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</row>
    <row r="162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</row>
    <row r="163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</row>
    <row r="164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</row>
    <row r="165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</row>
    <row r="166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</row>
    <row r="167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</row>
    <row r="168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</row>
    <row r="16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</row>
    <row r="170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</row>
    <row r="171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</row>
    <row r="172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</row>
    <row r="173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</row>
    <row r="174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</row>
    <row r="175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</row>
    <row r="176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</row>
    <row r="177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</row>
    <row r="178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</row>
    <row r="17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</row>
    <row r="180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</row>
    <row r="181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</row>
    <row r="182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</row>
    <row r="183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</row>
    <row r="184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</row>
    <row r="185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</row>
    <row r="186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</row>
    <row r="187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</row>
    <row r="188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</row>
    <row r="18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</row>
    <row r="190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</row>
    <row r="191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</row>
    <row r="192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</row>
    <row r="193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</row>
    <row r="194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</row>
    <row r="195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</row>
    <row r="196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</row>
    <row r="197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</row>
    <row r="198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</row>
    <row r="19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</row>
    <row r="200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</row>
    <row r="201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</row>
    <row r="202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</row>
    <row r="203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</row>
    <row r="204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</row>
    <row r="205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</row>
    <row r="206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</row>
    <row r="207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</row>
    <row r="208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</row>
    <row r="20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</row>
    <row r="210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</row>
    <row r="211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</row>
    <row r="212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</row>
    <row r="213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</row>
    <row r="214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</row>
    <row r="215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</row>
    <row r="216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</row>
    <row r="217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</row>
    <row r="218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</row>
    <row r="21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</row>
    <row r="220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</row>
    <row r="221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</row>
    <row r="222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</row>
    <row r="223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</row>
    <row r="224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</row>
    <row r="225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</row>
    <row r="226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</row>
    <row r="227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</row>
    <row r="228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</row>
    <row r="22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</row>
    <row r="230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</row>
    <row r="231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</row>
    <row r="232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</row>
    <row r="233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</row>
    <row r="234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</row>
    <row r="235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</row>
    <row r="236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</row>
    <row r="237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</row>
    <row r="238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</row>
    <row r="2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</row>
    <row r="240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</row>
    <row r="241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</row>
    <row r="242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</row>
    <row r="243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</row>
    <row r="244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</row>
    <row r="245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</row>
    <row r="246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</row>
    <row r="247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</row>
    <row r="248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</row>
    <row r="24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</row>
    <row r="250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</row>
    <row r="251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</row>
    <row r="252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</row>
    <row r="253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</row>
    <row r="254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</row>
    <row r="255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</row>
    <row r="256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</row>
    <row r="257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</row>
    <row r="258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</row>
    <row r="25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</row>
    <row r="260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</row>
    <row r="261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</row>
    <row r="262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</row>
    <row r="263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</row>
    <row r="264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</row>
    <row r="265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</row>
    <row r="266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</row>
    <row r="267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</row>
    <row r="268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</row>
    <row r="26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</row>
    <row r="270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</row>
    <row r="271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</row>
    <row r="272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</row>
    <row r="273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</row>
    <row r="274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</row>
    <row r="275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</row>
    <row r="276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</row>
    <row r="277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</row>
    <row r="278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</row>
    <row r="27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</row>
    <row r="280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</row>
    <row r="281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</row>
    <row r="282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</row>
    <row r="283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</row>
    <row r="284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</row>
    <row r="285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</row>
    <row r="286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</row>
    <row r="287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</row>
    <row r="288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</row>
    <row r="28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</row>
    <row r="290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</row>
    <row r="291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</row>
    <row r="292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</row>
    <row r="293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</row>
    <row r="294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</row>
    <row r="295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</row>
    <row r="296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</row>
    <row r="297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</row>
    <row r="298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</row>
    <row r="29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</row>
    <row r="300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</row>
    <row r="301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</row>
    <row r="302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</row>
    <row r="303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</row>
    <row r="304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</row>
    <row r="305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</row>
    <row r="306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</row>
    <row r="307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</row>
    <row r="308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</row>
    <row r="30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</row>
    <row r="310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</row>
    <row r="311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</row>
    <row r="312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</row>
    <row r="313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</row>
    <row r="314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</row>
    <row r="315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</row>
    <row r="316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</row>
    <row r="317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</row>
    <row r="318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</row>
    <row r="31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</row>
    <row r="320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</row>
    <row r="321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</row>
    <row r="322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</row>
    <row r="323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</row>
    <row r="324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</row>
    <row r="325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</row>
    <row r="326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</row>
    <row r="327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</row>
    <row r="328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</row>
    <row r="32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</row>
    <row r="330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</row>
    <row r="331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</row>
    <row r="332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</row>
    <row r="333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</row>
    <row r="334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</row>
    <row r="335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</row>
    <row r="336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</row>
    <row r="337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</row>
    <row r="338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</row>
    <row r="3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</row>
    <row r="340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</row>
    <row r="341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</row>
    <row r="342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</row>
    <row r="343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</row>
    <row r="344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</row>
    <row r="345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</row>
    <row r="346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</row>
    <row r="347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</row>
    <row r="348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</row>
    <row r="34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</row>
    <row r="350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</row>
    <row r="351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</row>
    <row r="352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</row>
    <row r="353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</row>
    <row r="354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</row>
    <row r="355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</row>
    <row r="356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</row>
    <row r="357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</row>
    <row r="358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</row>
    <row r="35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</row>
    <row r="360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</row>
    <row r="361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</row>
    <row r="362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</row>
    <row r="363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</row>
    <row r="364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</row>
    <row r="365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</row>
    <row r="366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</row>
    <row r="367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</row>
    <row r="368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</row>
    <row r="36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</row>
    <row r="370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</row>
    <row r="371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</row>
    <row r="372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</row>
    <row r="373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</row>
    <row r="374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</row>
    <row r="375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</row>
    <row r="376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</row>
    <row r="377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</row>
    <row r="378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</row>
    <row r="37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</row>
    <row r="380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</row>
    <row r="381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</row>
    <row r="382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</row>
    <row r="383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</row>
    <row r="384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</row>
    <row r="385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</row>
    <row r="386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</row>
    <row r="387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</row>
    <row r="388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</row>
    <row r="38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</row>
    <row r="390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</row>
    <row r="391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</row>
    <row r="392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</row>
    <row r="393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</row>
    <row r="394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</row>
    <row r="395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</row>
    <row r="396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</row>
    <row r="397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</row>
    <row r="398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</row>
    <row r="39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</row>
    <row r="400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</row>
    <row r="401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</row>
    <row r="403">
      <c r="A403" s="8" t="inlineStr">
        <is>
          <t>Column F is the argument you make when somebody proposes a fourteenth attribute. If it cannot be filled in, the attribute does not go on the sheet.</t>
        </is>
      </c>
    </row>
  </sheetData>
  <autoFilter ref="A1:I401"/>
  <dataValidations count="1">
    <dataValidation sqref="C2:C401" showDropDown="0" showInputMessage="0" showErrorMessage="0" allowBlank="1" type="list">
      <formula1>=Lists!$E$1:$E$3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9" customWidth="1" min="3" max="3"/>
    <col width="14" customWidth="1" min="4" max="4"/>
    <col width="32" customWidth="1" min="5" max="5"/>
    <col width="16" customWidth="1" min="6" max="6"/>
    <col width="20" customWidth="1" min="7" max="7"/>
    <col width="13" customWidth="1" min="8" max="8"/>
    <col width="14" customWidth="1" min="9" max="9"/>
    <col width="40" customWidth="1" min="10" max="10"/>
  </cols>
  <sheetData>
    <row r="1">
      <c r="A1" s="11" t="inlineStr">
        <is>
          <t>Link ID</t>
        </is>
      </c>
      <c r="B1" s="11" t="inlineStr">
        <is>
          <t>Type</t>
        </is>
      </c>
      <c r="C1" s="11" t="inlineStr">
        <is>
          <t>Obj ID</t>
        </is>
      </c>
      <c r="D1" s="11" t="inlineStr">
        <is>
          <t>Related ID</t>
        </is>
      </c>
      <c r="E1" s="11" t="inlineStr">
        <is>
          <t>Related name</t>
        </is>
      </c>
      <c r="F1" s="11" t="inlineStr">
        <is>
          <t>Role</t>
        </is>
      </c>
      <c r="G1" s="11" t="inlineStr">
        <is>
          <t>Region / market</t>
        </is>
      </c>
      <c r="H1" s="11" t="inlineStr">
        <is>
          <t>Expires</t>
        </is>
      </c>
      <c r="I1" s="11" t="inlineStr">
        <is>
          <t>Days to expiry</t>
        </is>
      </c>
      <c r="J1" s="11" t="inlineStr">
        <is>
          <t>Note</t>
        </is>
      </c>
    </row>
    <row r="2">
      <c r="A2" s="12" t="inlineStr">
        <is>
          <t>L-001</t>
        </is>
      </c>
      <c r="B2" s="12" t="inlineStr">
        <is>
          <t>Object to capability</t>
        </is>
      </c>
      <c r="C2" s="12" t="inlineStr">
        <is>
          <t>OBJ-04</t>
        </is>
      </c>
      <c r="D2" s="12" t="inlineStr">
        <is>
          <t>CAP-031</t>
        </is>
      </c>
      <c r="E2" s="12" t="inlineStr">
        <is>
          <t>Source to contract</t>
        </is>
      </c>
      <c r="F2" s="12" t="inlineStr">
        <is>
          <t>Owns lifecycle</t>
        </is>
      </c>
      <c r="G2" s="12" t="inlineStr"/>
      <c r="H2" s="12" t="inlineStr"/>
      <c r="I2" s="20">
        <f>IF(H2="","",H2-Settings!$B$2)</f>
        <v/>
      </c>
      <c r="J2" s="12" t="inlineStr"/>
    </row>
    <row r="3">
      <c r="A3" s="12" t="inlineStr">
        <is>
          <t>L-002</t>
        </is>
      </c>
      <c r="B3" s="12" t="inlineStr">
        <is>
          <t>Object to application</t>
        </is>
      </c>
      <c r="C3" s="12" t="inlineStr">
        <is>
          <t>OBJ-04</t>
        </is>
      </c>
      <c r="D3" s="12" t="inlineStr">
        <is>
          <t>APP-002</t>
        </is>
      </c>
      <c r="E3" s="12" t="inlineStr">
        <is>
          <t>Core ERP</t>
        </is>
      </c>
      <c r="F3" s="12" t="inlineStr">
        <is>
          <t>Master</t>
        </is>
      </c>
      <c r="G3" s="12" t="inlineStr"/>
      <c r="H3" s="12" t="inlineStr"/>
      <c r="I3" s="20">
        <f>IF(H3="","",H3-Settings!$B$2)</f>
        <v/>
      </c>
      <c r="J3" s="12" t="inlineStr"/>
    </row>
    <row r="4">
      <c r="A4" s="12" t="inlineStr">
        <is>
          <t>L-003</t>
        </is>
      </c>
      <c r="B4" s="12" t="inlineStr">
        <is>
          <t>Object to application</t>
        </is>
      </c>
      <c r="C4" s="12" t="inlineStr">
        <is>
          <t>OBJ-04</t>
        </is>
      </c>
      <c r="D4" s="12" t="inlineStr">
        <is>
          <t>APP-044</t>
        </is>
      </c>
      <c r="E4" s="12" t="inlineStr">
        <is>
          <t>Procurement portal</t>
        </is>
      </c>
      <c r="F4" s="12" t="inlineStr">
        <is>
          <t>Reference</t>
        </is>
      </c>
      <c r="G4" s="12" t="inlineStr"/>
      <c r="H4" s="12" t="inlineStr"/>
      <c r="I4" s="20">
        <f>IF(H4="","",H4-Settings!$B$2)</f>
        <v/>
      </c>
      <c r="J4" s="12" t="n"/>
    </row>
    <row r="5">
      <c r="A5" s="12" t="inlineStr">
        <is>
          <t>L-004</t>
        </is>
      </c>
      <c r="B5" s="12" t="inlineStr">
        <is>
          <t>Object to application</t>
        </is>
      </c>
      <c r="C5" s="12" t="inlineStr">
        <is>
          <t>OBJ-04</t>
        </is>
      </c>
      <c r="D5" s="12" t="inlineStr">
        <is>
          <t>APP-118</t>
        </is>
      </c>
      <c r="E5" s="12" t="inlineStr">
        <is>
          <t>Market D supplier register</t>
        </is>
      </c>
      <c r="F5" s="12" t="inlineStr">
        <is>
          <t>Reference</t>
        </is>
      </c>
      <c r="G5" s="12" t="inlineStr">
        <is>
          <t>Market D</t>
        </is>
      </c>
      <c r="H5" s="12" t="inlineStr"/>
      <c r="I5" s="20">
        <f>IF(H5="","",H5-Settings!$B$2)</f>
        <v/>
      </c>
      <c r="J5" s="12" t="n"/>
    </row>
    <row r="6">
      <c r="A6" s="12" t="inlineStr">
        <is>
          <t>L-005</t>
        </is>
      </c>
      <c r="B6" s="12" t="inlineStr">
        <is>
          <t>Object to application</t>
        </is>
      </c>
      <c r="C6" s="12" t="inlineStr">
        <is>
          <t>OBJ-04</t>
        </is>
      </c>
      <c r="D6" s="12" t="inlineStr">
        <is>
          <t>APP-077</t>
        </is>
      </c>
      <c r="E6" s="12" t="inlineStr">
        <is>
          <t>Data platform</t>
        </is>
      </c>
      <c r="F6" s="12" t="inlineStr">
        <is>
          <t>Consumer</t>
        </is>
      </c>
      <c r="G6" s="12" t="inlineStr"/>
      <c r="H6" s="12" t="inlineStr"/>
      <c r="I6" s="20">
        <f>IF(H6="","",H6-Settings!$B$2)</f>
        <v/>
      </c>
      <c r="J6" s="12" t="inlineStr"/>
    </row>
    <row r="7">
      <c r="A7" s="12" t="inlineStr">
        <is>
          <t>L-006</t>
        </is>
      </c>
      <c r="B7" s="12" t="inlineStr">
        <is>
          <t>Object to IT component</t>
        </is>
      </c>
      <c r="C7" s="12" t="inlineStr">
        <is>
          <t>OBJ-04</t>
        </is>
      </c>
      <c r="D7" s="12" t="inlineStr">
        <is>
          <t>ITC-009</t>
        </is>
      </c>
      <c r="E7" s="12" t="inlineStr">
        <is>
          <t>Core ERP database, region EU</t>
        </is>
      </c>
      <c r="F7" s="12" t="inlineStr">
        <is>
          <t>Sits on</t>
        </is>
      </c>
      <c r="G7" s="12" t="inlineStr">
        <is>
          <t>EU</t>
        </is>
      </c>
      <c r="H7" s="12" t="inlineStr"/>
      <c r="I7" s="20">
        <f>IF(H7="","",H7-Settings!$B$2)</f>
        <v/>
      </c>
      <c r="J7" s="12" t="inlineStr"/>
    </row>
    <row r="8">
      <c r="A8" s="12" t="inlineStr">
        <is>
          <t>L-007</t>
        </is>
      </c>
      <c r="B8" s="12" t="inlineStr">
        <is>
          <t>Object to IT component</t>
        </is>
      </c>
      <c r="C8" s="12" t="inlineStr">
        <is>
          <t>OBJ-04</t>
        </is>
      </c>
      <c r="D8" s="12" t="inlineStr">
        <is>
          <t>ITC-041</t>
        </is>
      </c>
      <c r="E8" s="12" t="inlineStr">
        <is>
          <t>Market E database, in-country</t>
        </is>
      </c>
      <c r="F8" s="12" t="inlineStr">
        <is>
          <t>Sits on</t>
        </is>
      </c>
      <c r="G8" s="12" t="inlineStr">
        <is>
          <t>Market E</t>
        </is>
      </c>
      <c r="H8" s="12" t="inlineStr"/>
      <c r="I8" s="20">
        <f>IF(H8="","",H8-Settings!$B$2)</f>
        <v/>
      </c>
      <c r="J8" s="12" t="inlineStr">
        <is>
          <t>Residency requirement, statutory</t>
        </is>
      </c>
    </row>
    <row r="9">
      <c r="A9" s="12" t="inlineStr">
        <is>
          <t>L-008</t>
        </is>
      </c>
      <c r="B9" s="12" t="inlineStr">
        <is>
          <t>Object to interface</t>
        </is>
      </c>
      <c r="C9" s="12" t="inlineStr">
        <is>
          <t>OBJ-04</t>
        </is>
      </c>
      <c r="D9" s="12" t="inlineStr">
        <is>
          <t>INT-001</t>
        </is>
      </c>
      <c r="E9" s="12" t="inlineStr">
        <is>
          <t>Supplier master to market portal</t>
        </is>
      </c>
      <c r="F9" s="12" t="inlineStr">
        <is>
          <t>Carried by</t>
        </is>
      </c>
      <c r="G9" s="12" t="inlineStr"/>
      <c r="H9" s="12" t="inlineStr"/>
      <c r="I9" s="20">
        <f>IF(H9="","",H9-Settings!$B$2)</f>
        <v/>
      </c>
      <c r="J9" s="12" t="inlineStr">
        <is>
          <t>Event, canonical shape</t>
        </is>
      </c>
    </row>
    <row r="10">
      <c r="A10" s="12" t="inlineStr">
        <is>
          <t>L-009</t>
        </is>
      </c>
      <c r="B10" s="12" t="inlineStr">
        <is>
          <t>Object to interface</t>
        </is>
      </c>
      <c r="C10" s="12" t="inlineStr">
        <is>
          <t>OBJ-04</t>
        </is>
      </c>
      <c r="D10" s="12" t="inlineStr">
        <is>
          <t>INT-005</t>
        </is>
      </c>
      <c r="E10" s="12" t="inlineStr">
        <is>
          <t>Local supplier register lookup</t>
        </is>
      </c>
      <c r="F10" s="12" t="inlineStr">
        <is>
          <t>Carried by</t>
        </is>
      </c>
      <c r="G10" s="12" t="inlineStr">
        <is>
          <t>Market D</t>
        </is>
      </c>
      <c r="H10" s="12" t="inlineStr"/>
      <c r="I10" s="20">
        <f>IF(H10="","",H10-Settings!$B$2)</f>
        <v/>
      </c>
      <c r="J10" s="12" t="inlineStr">
        <is>
          <t>Synchronous, user is waiting</t>
        </is>
      </c>
    </row>
    <row r="11">
      <c r="A11" s="12" t="inlineStr">
        <is>
          <t>L-010</t>
        </is>
      </c>
      <c r="B11" s="12" t="inlineStr">
        <is>
          <t>Object to capability</t>
        </is>
      </c>
      <c r="C11" s="12" t="inlineStr">
        <is>
          <t>OBJ-01</t>
        </is>
      </c>
      <c r="D11" s="12" t="inlineStr">
        <is>
          <t>CAP-004</t>
        </is>
      </c>
      <c r="E11" s="12" t="inlineStr">
        <is>
          <t>Customer management</t>
        </is>
      </c>
      <c r="F11" s="12" t="inlineStr">
        <is>
          <t>Owns lifecycle</t>
        </is>
      </c>
      <c r="G11" s="12" t="inlineStr"/>
      <c r="H11" s="12" t="inlineStr"/>
      <c r="I11" s="20">
        <f>IF(H11="","",H11-Settings!$B$2)</f>
        <v/>
      </c>
      <c r="J11" s="12" t="inlineStr"/>
    </row>
    <row r="12">
      <c r="A12" s="12" t="inlineStr">
        <is>
          <t>L-011</t>
        </is>
      </c>
      <c r="B12" s="12" t="inlineStr">
        <is>
          <t>Object to application</t>
        </is>
      </c>
      <c r="C12" s="12" t="inlineStr">
        <is>
          <t>OBJ-01</t>
        </is>
      </c>
      <c r="D12" s="12" t="inlineStr">
        <is>
          <t>APP-011</t>
        </is>
      </c>
      <c r="E12" s="12" t="inlineStr">
        <is>
          <t>CRM</t>
        </is>
      </c>
      <c r="F12" s="12" t="inlineStr">
        <is>
          <t>Master</t>
        </is>
      </c>
      <c r="G12" s="12" t="inlineStr"/>
      <c r="H12" s="12" t="inlineStr"/>
      <c r="I12" s="20">
        <f>IF(H12="","",H12-Settings!$B$2)</f>
        <v/>
      </c>
      <c r="J12" s="12" t="inlineStr"/>
    </row>
    <row r="13">
      <c r="A13" s="12" t="inlineStr">
        <is>
          <t>L-012</t>
        </is>
      </c>
      <c r="B13" s="12" t="inlineStr">
        <is>
          <t>Object to application</t>
        </is>
      </c>
      <c r="C13" s="12" t="inlineStr">
        <is>
          <t>OBJ-01</t>
        </is>
      </c>
      <c r="D13" s="12" t="inlineStr">
        <is>
          <t>APP-023</t>
        </is>
      </c>
      <c r="E13" s="12" t="inlineStr">
        <is>
          <t>Commerce platform</t>
        </is>
      </c>
      <c r="F13" s="12" t="inlineStr">
        <is>
          <t>Consumer</t>
        </is>
      </c>
      <c r="G13" s="12" t="inlineStr"/>
      <c r="H13" s="12" t="inlineStr"/>
      <c r="I13" s="20">
        <f>IF(H13="","",H13-Settings!$B$2)</f>
        <v/>
      </c>
      <c r="J13" s="12" t="inlineStr"/>
    </row>
    <row r="14">
      <c r="A14" s="12" t="inlineStr">
        <is>
          <t>L-013</t>
        </is>
      </c>
      <c r="B14" s="12" t="inlineStr">
        <is>
          <t>Object to application</t>
        </is>
      </c>
      <c r="C14" s="12" t="inlineStr">
        <is>
          <t>OBJ-01</t>
        </is>
      </c>
      <c r="D14" s="12" t="inlineStr">
        <is>
          <t>APP-090</t>
        </is>
      </c>
      <c r="E14" s="12" t="inlineStr">
        <is>
          <t>Campaign tool</t>
        </is>
      </c>
      <c r="F14" s="12" t="inlineStr">
        <is>
          <t>Consumer</t>
        </is>
      </c>
      <c r="G14" s="12" t="inlineStr"/>
      <c r="H14" s="12" t="inlineStr"/>
      <c r="I14" s="20">
        <f>IF(H14="","",H14-Settings!$B$2)</f>
        <v/>
      </c>
      <c r="J14" s="12" t="inlineStr">
        <is>
          <t>Asked to master it in Q1, refused, reads via API</t>
        </is>
      </c>
    </row>
    <row r="15">
      <c r="A15" s="12" t="inlineStr">
        <is>
          <t>L-014</t>
        </is>
      </c>
      <c r="B15" s="12" t="inlineStr">
        <is>
          <t>Object to IT component</t>
        </is>
      </c>
      <c r="C15" s="12" t="inlineStr">
        <is>
          <t>OBJ-01</t>
        </is>
      </c>
      <c r="D15" s="12" t="inlineStr">
        <is>
          <t>ITC-014</t>
        </is>
      </c>
      <c r="E15" s="12" t="inlineStr">
        <is>
          <t>CRM database, region EU</t>
        </is>
      </c>
      <c r="F15" s="12" t="inlineStr">
        <is>
          <t>Sits on</t>
        </is>
      </c>
      <c r="G15" s="12" t="inlineStr">
        <is>
          <t>EU</t>
        </is>
      </c>
      <c r="H15" s="12" t="inlineStr"/>
      <c r="I15" s="20">
        <f>IF(H15="","",H15-Settings!$B$2)</f>
        <v/>
      </c>
      <c r="J15" s="12" t="inlineStr"/>
    </row>
    <row r="16">
      <c r="A16" s="12" t="inlineStr">
        <is>
          <t>L-015</t>
        </is>
      </c>
      <c r="B16" s="12" t="inlineStr">
        <is>
          <t>Object to IT component</t>
        </is>
      </c>
      <c r="C16" s="12" t="inlineStr">
        <is>
          <t>OBJ-01</t>
        </is>
      </c>
      <c r="D16" s="12" t="inlineStr">
        <is>
          <t>ITC-052</t>
        </is>
      </c>
      <c r="E16" s="12" t="inlineStr">
        <is>
          <t>Market G database, in-country</t>
        </is>
      </c>
      <c r="F16" s="12" t="inlineStr">
        <is>
          <t>Sits on</t>
        </is>
      </c>
      <c r="G16" s="12" t="inlineStr">
        <is>
          <t>Market G</t>
        </is>
      </c>
      <c r="H16" s="12" t="inlineStr"/>
      <c r="I16" s="20">
        <f>IF(H16="","",H16-Settings!$B$2)</f>
        <v/>
      </c>
      <c r="J16" s="12" t="inlineStr">
        <is>
          <t>Residency requirement</t>
        </is>
      </c>
    </row>
    <row r="17">
      <c r="A17" s="12" t="inlineStr">
        <is>
          <t>L-016</t>
        </is>
      </c>
      <c r="B17" s="12" t="inlineStr">
        <is>
          <t>Object to capability</t>
        </is>
      </c>
      <c r="C17" s="12" t="inlineStr">
        <is>
          <t>OBJ-07</t>
        </is>
      </c>
      <c r="D17" s="12" t="inlineStr">
        <is>
          <t>CAP-018</t>
        </is>
      </c>
      <c r="E17" s="12" t="inlineStr">
        <is>
          <t>Pricing</t>
        </is>
      </c>
      <c r="F17" s="12" t="inlineStr">
        <is>
          <t>Owns lifecycle</t>
        </is>
      </c>
      <c r="G17" s="12" t="inlineStr"/>
      <c r="H17" s="12" t="inlineStr"/>
      <c r="I17" s="20">
        <f>IF(H17="","",H17-Settings!$B$2)</f>
        <v/>
      </c>
      <c r="J17" s="12" t="inlineStr"/>
    </row>
    <row r="18">
      <c r="A18" s="12" t="inlineStr">
        <is>
          <t>L-017</t>
        </is>
      </c>
      <c r="B18" s="12" t="inlineStr">
        <is>
          <t>Object to application</t>
        </is>
      </c>
      <c r="C18" s="12" t="inlineStr">
        <is>
          <t>OBJ-07</t>
        </is>
      </c>
      <c r="D18" s="12" t="inlineStr">
        <is>
          <t>APP-002</t>
        </is>
      </c>
      <c r="E18" s="12" t="inlineStr">
        <is>
          <t>Core ERP</t>
        </is>
      </c>
      <c r="F18" s="12" t="inlineStr">
        <is>
          <t>Master</t>
        </is>
      </c>
      <c r="G18" s="12" t="inlineStr"/>
      <c r="H18" s="12" t="inlineStr"/>
      <c r="I18" s="20">
        <f>IF(H18="","",H18-Settings!$B$2)</f>
        <v/>
      </c>
      <c r="J18" s="12" t="n"/>
    </row>
    <row r="19">
      <c r="A19" s="12" t="inlineStr">
        <is>
          <t>L-018</t>
        </is>
      </c>
      <c r="B19" s="12" t="inlineStr">
        <is>
          <t>Object to application</t>
        </is>
      </c>
      <c r="C19" s="12" t="inlineStr">
        <is>
          <t>OBJ-07</t>
        </is>
      </c>
      <c r="D19" s="12" t="inlineStr">
        <is>
          <t>APP-131</t>
        </is>
      </c>
      <c r="E19" s="12" t="inlineStr">
        <is>
          <t>Pricing service, side-by-side</t>
        </is>
      </c>
      <c r="F19" s="12" t="inlineStr">
        <is>
          <t>Master</t>
        </is>
      </c>
      <c r="G19" s="12" t="inlineStr"/>
      <c r="H19" s="12" t="inlineStr"/>
      <c r="I19" s="20">
        <f>IF(H19="","",H19-Settings!$B$2)</f>
        <v/>
      </c>
      <c r="J19" s="12" t="inlineStr">
        <is>
          <t>Takes mastership Q4 - two masters until then, see EXC-11</t>
        </is>
      </c>
    </row>
    <row r="20">
      <c r="A20" s="12" t="inlineStr">
        <is>
          <t>L-019</t>
        </is>
      </c>
      <c r="B20" s="12" t="inlineStr">
        <is>
          <t>Object to application</t>
        </is>
      </c>
      <c r="C20" s="12" t="inlineStr">
        <is>
          <t>OBJ-07</t>
        </is>
      </c>
      <c r="D20" s="12" t="inlineStr">
        <is>
          <t>APP-023</t>
        </is>
      </c>
      <c r="E20" s="12" t="inlineStr">
        <is>
          <t>Commerce platform</t>
        </is>
      </c>
      <c r="F20" s="12" t="inlineStr">
        <is>
          <t>Consumer</t>
        </is>
      </c>
      <c r="G20" s="12" t="inlineStr"/>
      <c r="H20" s="12" t="inlineStr"/>
      <c r="I20" s="20">
        <f>IF(H20="","",H20-Settings!$B$2)</f>
        <v/>
      </c>
      <c r="J20" s="12" t="inlineStr"/>
    </row>
    <row r="21">
      <c r="A21" s="12" t="inlineStr">
        <is>
          <t>L-020</t>
        </is>
      </c>
      <c r="B21" s="12" t="inlineStr">
        <is>
          <t>Object to interface</t>
        </is>
      </c>
      <c r="C21" s="12" t="inlineStr">
        <is>
          <t>OBJ-07</t>
        </is>
      </c>
      <c r="D21" s="12" t="inlineStr">
        <is>
          <t>INT-021</t>
        </is>
      </c>
      <c r="E21" s="12" t="inlineStr">
        <is>
          <t>Price to commerce</t>
        </is>
      </c>
      <c r="F21" s="12" t="inlineStr">
        <is>
          <t>Carried by</t>
        </is>
      </c>
      <c r="G21" s="12" t="inlineStr"/>
      <c r="H21" s="12" t="inlineStr"/>
      <c r="I21" s="20">
        <f>IF(H21="","",H21-Settings!$B$2)</f>
        <v/>
      </c>
      <c r="J21" s="12" t="inlineStr"/>
    </row>
    <row r="22">
      <c r="A22" s="12" t="inlineStr">
        <is>
          <t>L-021</t>
        </is>
      </c>
      <c r="B22" s="12" t="inlineStr">
        <is>
          <t>Object to capability</t>
        </is>
      </c>
      <c r="C22" s="12" t="inlineStr">
        <is>
          <t>OBJ-02</t>
        </is>
      </c>
      <c r="D22" s="12" t="inlineStr">
        <is>
          <t>CAP-009</t>
        </is>
      </c>
      <c r="E22" s="12" t="inlineStr">
        <is>
          <t>Product management</t>
        </is>
      </c>
      <c r="F22" s="12" t="inlineStr">
        <is>
          <t>Owns lifecycle</t>
        </is>
      </c>
      <c r="G22" s="12" t="inlineStr"/>
      <c r="H22" s="12" t="inlineStr"/>
      <c r="I22" s="20">
        <f>IF(H22="","",H22-Settings!$B$2)</f>
        <v/>
      </c>
      <c r="J22" s="12" t="inlineStr"/>
    </row>
    <row r="23">
      <c r="A23" s="12" t="inlineStr">
        <is>
          <t>L-022</t>
        </is>
      </c>
      <c r="B23" s="12" t="inlineStr">
        <is>
          <t>Object to application</t>
        </is>
      </c>
      <c r="C23" s="12" t="inlineStr">
        <is>
          <t>OBJ-02</t>
        </is>
      </c>
      <c r="D23" s="12" t="inlineStr">
        <is>
          <t>APP-002</t>
        </is>
      </c>
      <c r="E23" s="12" t="inlineStr">
        <is>
          <t>Core ERP</t>
        </is>
      </c>
      <c r="F23" s="12" t="inlineStr">
        <is>
          <t>Master</t>
        </is>
      </c>
      <c r="G23" s="12" t="inlineStr"/>
      <c r="H23" s="12" t="inlineStr"/>
      <c r="I23" s="20">
        <f>IF(H23="","",H23-Settings!$B$2)</f>
        <v/>
      </c>
      <c r="J23" s="12" t="inlineStr"/>
    </row>
    <row r="24">
      <c r="A24" s="12" t="inlineStr">
        <is>
          <t>L-023</t>
        </is>
      </c>
      <c r="B24" s="12" t="inlineStr">
        <is>
          <t>Object to application</t>
        </is>
      </c>
      <c r="C24" s="12" t="inlineStr">
        <is>
          <t>OBJ-02</t>
        </is>
      </c>
      <c r="D24" s="12" t="inlineStr">
        <is>
          <t>APP-023</t>
        </is>
      </c>
      <c r="E24" s="12" t="inlineStr">
        <is>
          <t>Commerce platform</t>
        </is>
      </c>
      <c r="F24" s="12" t="inlineStr">
        <is>
          <t>Consumer</t>
        </is>
      </c>
      <c r="G24" s="12" t="inlineStr"/>
      <c r="H24" s="12" t="inlineStr"/>
      <c r="I24" s="20">
        <f>IF(H24="","",H24-Settings!$B$2)</f>
        <v/>
      </c>
      <c r="J24" s="12" t="inlineStr"/>
    </row>
    <row r="25">
      <c r="A25" s="12" t="inlineStr">
        <is>
          <t>L-024</t>
        </is>
      </c>
      <c r="B25" s="12" t="inlineStr">
        <is>
          <t>Object to IT component</t>
        </is>
      </c>
      <c r="C25" s="12" t="inlineStr">
        <is>
          <t>OBJ-02</t>
        </is>
      </c>
      <c r="D25" s="12" t="inlineStr">
        <is>
          <t>ITC-009</t>
        </is>
      </c>
      <c r="E25" s="12" t="inlineStr">
        <is>
          <t>Core ERP database, region EU</t>
        </is>
      </c>
      <c r="F25" s="12" t="inlineStr">
        <is>
          <t>Sits on</t>
        </is>
      </c>
      <c r="G25" s="12" t="inlineStr">
        <is>
          <t>EU</t>
        </is>
      </c>
      <c r="H25" s="12" t="inlineStr"/>
      <c r="I25" s="20">
        <f>IF(H25="","",H25-Settings!$B$2)</f>
        <v/>
      </c>
      <c r="J25" s="12" t="inlineStr"/>
    </row>
    <row r="26">
      <c r="A26" s="12" t="inlineStr">
        <is>
          <t>L-025</t>
        </is>
      </c>
      <c r="B26" s="12" t="inlineStr">
        <is>
          <t>Object to capability</t>
        </is>
      </c>
      <c r="C26" s="12" t="inlineStr">
        <is>
          <t>OBJ-03</t>
        </is>
      </c>
      <c r="D26" s="12" t="inlineStr">
        <is>
          <t>CAP-022</t>
        </is>
      </c>
      <c r="E26" s="12" t="inlineStr">
        <is>
          <t>People operations</t>
        </is>
      </c>
      <c r="F26" s="12" t="inlineStr">
        <is>
          <t>Owns lifecycle</t>
        </is>
      </c>
      <c r="G26" s="12" t="inlineStr"/>
      <c r="H26" s="12" t="inlineStr"/>
      <c r="I26" s="20">
        <f>IF(H26="","",H26-Settings!$B$2)</f>
        <v/>
      </c>
      <c r="J26" s="12" t="inlineStr"/>
    </row>
    <row r="27">
      <c r="A27" s="12" t="inlineStr">
        <is>
          <t>L-026</t>
        </is>
      </c>
      <c r="B27" s="12" t="inlineStr">
        <is>
          <t>Object to application</t>
        </is>
      </c>
      <c r="C27" s="12" t="inlineStr">
        <is>
          <t>OBJ-03</t>
        </is>
      </c>
      <c r="D27" s="12" t="inlineStr">
        <is>
          <t>APP-055</t>
        </is>
      </c>
      <c r="E27" s="12" t="inlineStr">
        <is>
          <t>HR system</t>
        </is>
      </c>
      <c r="F27" s="12" t="inlineStr">
        <is>
          <t>Master</t>
        </is>
      </c>
      <c r="G27" s="12" t="inlineStr"/>
      <c r="H27" s="12" t="inlineStr"/>
      <c r="I27" s="20">
        <f>IF(H27="","",H27-Settings!$B$2)</f>
        <v/>
      </c>
      <c r="J27" s="12" t="inlineStr"/>
    </row>
    <row r="28">
      <c r="A28" s="12" t="inlineStr">
        <is>
          <t>L-027</t>
        </is>
      </c>
      <c r="B28" s="12" t="inlineStr">
        <is>
          <t>Object to application</t>
        </is>
      </c>
      <c r="C28" s="12" t="inlineStr">
        <is>
          <t>OBJ-03</t>
        </is>
      </c>
      <c r="D28" s="12" t="inlineStr">
        <is>
          <t>APP-061</t>
        </is>
      </c>
      <c r="E28" s="12" t="inlineStr">
        <is>
          <t>Identity management</t>
        </is>
      </c>
      <c r="F28" s="12" t="inlineStr">
        <is>
          <t>Consumer</t>
        </is>
      </c>
      <c r="G28" s="12" t="inlineStr"/>
      <c r="H28" s="12" t="inlineStr"/>
      <c r="I28" s="20">
        <f>IF(H28="","",H28-Settings!$B$2)</f>
        <v/>
      </c>
      <c r="J28" s="12" t="inlineStr"/>
    </row>
    <row r="29">
      <c r="A29" s="12" t="inlineStr">
        <is>
          <t>L-028</t>
        </is>
      </c>
      <c r="B29" s="12" t="inlineStr">
        <is>
          <t>Object to IT component</t>
        </is>
      </c>
      <c r="C29" s="12" t="inlineStr">
        <is>
          <t>OBJ-03</t>
        </is>
      </c>
      <c r="D29" s="12" t="inlineStr">
        <is>
          <t>ITC-030</t>
        </is>
      </c>
      <c r="E29" s="12" t="inlineStr">
        <is>
          <t>HR database, per market in-country</t>
        </is>
      </c>
      <c r="F29" s="12" t="inlineStr">
        <is>
          <t>Sits on</t>
        </is>
      </c>
      <c r="G29" s="12" t="inlineStr">
        <is>
          <t>All markets</t>
        </is>
      </c>
      <c r="H29" s="12" t="inlineStr"/>
      <c r="I29" s="20">
        <f>IF(H29="","",H29-Settings!$B$2)</f>
        <v/>
      </c>
      <c r="J29" s="12" t="inlineStr">
        <is>
          <t>Residency requirement in every market</t>
        </is>
      </c>
    </row>
    <row r="30">
      <c r="A30" s="12" t="inlineStr">
        <is>
          <t>L-029</t>
        </is>
      </c>
      <c r="B30" s="12" t="inlineStr">
        <is>
          <t>Object to capability</t>
        </is>
      </c>
      <c r="C30" s="12" t="inlineStr">
        <is>
          <t>OBJ-05</t>
        </is>
      </c>
      <c r="D30" s="12" t="inlineStr">
        <is>
          <t>CAP-014</t>
        </is>
      </c>
      <c r="E30" s="12" t="inlineStr">
        <is>
          <t>Order management</t>
        </is>
      </c>
      <c r="F30" s="12" t="inlineStr">
        <is>
          <t>Owns lifecycle</t>
        </is>
      </c>
      <c r="G30" s="12" t="inlineStr"/>
      <c r="H30" s="12" t="inlineStr"/>
      <c r="I30" s="20">
        <f>IF(H30="","",H30-Settings!$B$2)</f>
        <v/>
      </c>
      <c r="J30" s="12" t="inlineStr"/>
    </row>
    <row r="31">
      <c r="A31" s="12" t="inlineStr">
        <is>
          <t>L-030</t>
        </is>
      </c>
      <c r="B31" s="12" t="inlineStr">
        <is>
          <t>Object to application</t>
        </is>
      </c>
      <c r="C31" s="12" t="inlineStr">
        <is>
          <t>OBJ-05</t>
        </is>
      </c>
      <c r="D31" s="12" t="inlineStr">
        <is>
          <t>APP-002</t>
        </is>
      </c>
      <c r="E31" s="12" t="inlineStr">
        <is>
          <t>Core ERP</t>
        </is>
      </c>
      <c r="F31" s="12" t="inlineStr">
        <is>
          <t>Master</t>
        </is>
      </c>
      <c r="G31" s="12" t="inlineStr"/>
      <c r="H31" s="12" t="inlineStr"/>
      <c r="I31" s="20">
        <f>IF(H31="","",H31-Settings!$B$2)</f>
        <v/>
      </c>
      <c r="J31" s="12" t="inlineStr"/>
    </row>
    <row r="32">
      <c r="A32" s="12" t="inlineStr">
        <is>
          <t>L-031</t>
        </is>
      </c>
      <c r="B32" s="12" t="inlineStr">
        <is>
          <t>Object to interface</t>
        </is>
      </c>
      <c r="C32" s="12" t="inlineStr">
        <is>
          <t>OBJ-05</t>
        </is>
      </c>
      <c r="D32" s="12" t="inlineStr">
        <is>
          <t>INT-002</t>
        </is>
      </c>
      <c r="E32" s="12" t="inlineStr">
        <is>
          <t>Sales orders from web shop</t>
        </is>
      </c>
      <c r="F32" s="12" t="inlineStr">
        <is>
          <t>Carried by</t>
        </is>
      </c>
      <c r="G32" s="12" t="inlineStr"/>
      <c r="H32" s="12" t="inlineStr"/>
      <c r="I32" s="20">
        <f>IF(H32="","",H32-Settings!$B$2)</f>
        <v/>
      </c>
      <c r="J32" s="12" t="inlineStr"/>
    </row>
    <row r="33">
      <c r="A33" s="12" t="inlineStr">
        <is>
          <t>L-032</t>
        </is>
      </c>
      <c r="B33" s="12" t="inlineStr">
        <is>
          <t>Object to capability</t>
        </is>
      </c>
      <c r="C33" s="12" t="inlineStr">
        <is>
          <t>OBJ-06</t>
        </is>
      </c>
      <c r="D33" s="12" t="inlineStr">
        <is>
          <t>CAP-031</t>
        </is>
      </c>
      <c r="E33" s="12" t="inlineStr">
        <is>
          <t>Source to contract</t>
        </is>
      </c>
      <c r="F33" s="12" t="inlineStr">
        <is>
          <t>Owns lifecycle</t>
        </is>
      </c>
      <c r="G33" s="12" t="inlineStr"/>
      <c r="H33" s="12" t="inlineStr"/>
      <c r="I33" s="20">
        <f>IF(H33="","",H33-Settings!$B$2)</f>
        <v/>
      </c>
      <c r="J33" s="12" t="inlineStr"/>
    </row>
    <row r="34">
      <c r="A34" s="12" t="inlineStr">
        <is>
          <t>L-033</t>
        </is>
      </c>
      <c r="B34" s="12" t="inlineStr">
        <is>
          <t>Object to application</t>
        </is>
      </c>
      <c r="C34" s="12" t="inlineStr">
        <is>
          <t>OBJ-06</t>
        </is>
      </c>
      <c r="D34" s="12" t="inlineStr">
        <is>
          <t>APP-101</t>
        </is>
      </c>
      <c r="E34" s="12" t="inlineStr">
        <is>
          <t>Contract system</t>
        </is>
      </c>
      <c r="F34" s="12" t="inlineStr">
        <is>
          <t>Master</t>
        </is>
      </c>
      <c r="G34" s="12" t="inlineStr"/>
      <c r="H34" s="12" t="inlineStr"/>
      <c r="I34" s="20">
        <f>IF(H34="","",H34-Settings!$B$2)</f>
        <v/>
      </c>
      <c r="J34" s="12" t="inlineStr"/>
    </row>
    <row r="35">
      <c r="A35" s="12" t="inlineStr">
        <is>
          <t>L-034</t>
        </is>
      </c>
      <c r="B35" s="12" t="inlineStr">
        <is>
          <t>Object to IT component</t>
        </is>
      </c>
      <c r="C35" s="12" t="inlineStr">
        <is>
          <t>OBJ-06</t>
        </is>
      </c>
      <c r="D35" s="12" t="inlineStr">
        <is>
          <t>ITC-066</t>
        </is>
      </c>
      <c r="E35" s="12" t="inlineStr">
        <is>
          <t>Market F store, in-country</t>
        </is>
      </c>
      <c r="F35" s="12" t="inlineStr">
        <is>
          <t>Sits on</t>
        </is>
      </c>
      <c r="G35" s="12" t="inlineStr">
        <is>
          <t>Market F</t>
        </is>
      </c>
      <c r="H35" s="12" t="inlineStr"/>
      <c r="I35" s="20">
        <f>IF(H35="","",H35-Settings!$B$2)</f>
        <v/>
      </c>
      <c r="J35" s="12" t="inlineStr">
        <is>
          <t>See EXC-10</t>
        </is>
      </c>
    </row>
    <row r="36">
      <c r="A36" s="12" t="inlineStr">
        <is>
          <t>L-035</t>
        </is>
      </c>
      <c r="B36" s="12" t="inlineStr">
        <is>
          <t>Object to capability</t>
        </is>
      </c>
      <c r="C36" s="12" t="inlineStr">
        <is>
          <t>OBJ-08</t>
        </is>
      </c>
      <c r="D36" s="12" t="inlineStr">
        <is>
          <t>CAP-041</t>
        </is>
      </c>
      <c r="E36" s="12" t="inlineStr">
        <is>
          <t>Finance operations</t>
        </is>
      </c>
      <c r="F36" s="12" t="inlineStr">
        <is>
          <t>Owns lifecycle</t>
        </is>
      </c>
      <c r="G36" s="12" t="inlineStr"/>
      <c r="H36" s="12" t="inlineStr"/>
      <c r="I36" s="20">
        <f>IF(H36="","",H36-Settings!$B$2)</f>
        <v/>
      </c>
      <c r="J36" s="12" t="inlineStr"/>
    </row>
    <row r="37">
      <c r="A37" s="12" t="inlineStr">
        <is>
          <t>L-036</t>
        </is>
      </c>
      <c r="B37" s="12" t="inlineStr">
        <is>
          <t>Object to application</t>
        </is>
      </c>
      <c r="C37" s="12" t="inlineStr">
        <is>
          <t>OBJ-08</t>
        </is>
      </c>
      <c r="D37" s="12" t="inlineStr">
        <is>
          <t>APP-002</t>
        </is>
      </c>
      <c r="E37" s="12" t="inlineStr">
        <is>
          <t>Core ERP</t>
        </is>
      </c>
      <c r="F37" s="12" t="inlineStr">
        <is>
          <t>Master</t>
        </is>
      </c>
      <c r="G37" s="12" t="inlineStr"/>
      <c r="H37" s="12" t="inlineStr"/>
      <c r="I37" s="20">
        <f>IF(H37="","",H37-Settings!$B$2)</f>
        <v/>
      </c>
      <c r="J37" s="12" t="inlineStr"/>
    </row>
    <row r="38">
      <c r="A38" s="12" t="inlineStr">
        <is>
          <t>L-037</t>
        </is>
      </c>
      <c r="B38" s="12" t="inlineStr">
        <is>
          <t>Object to capability</t>
        </is>
      </c>
      <c r="C38" s="12" t="inlineStr">
        <is>
          <t>OBJ-09</t>
        </is>
      </c>
      <c r="D38" s="12" t="inlineStr">
        <is>
          <t>CAP-050</t>
        </is>
      </c>
      <c r="E38" s="12" t="inlineStr">
        <is>
          <t>Store operations</t>
        </is>
      </c>
      <c r="F38" s="12" t="inlineStr">
        <is>
          <t>Owns lifecycle</t>
        </is>
      </c>
      <c r="G38" s="12" t="inlineStr"/>
      <c r="H38" s="12" t="inlineStr"/>
      <c r="I38" s="20">
        <f>IF(H38="","",H38-Settings!$B$2)</f>
        <v/>
      </c>
      <c r="J38" s="12" t="inlineStr"/>
    </row>
    <row r="39">
      <c r="A39" s="12" t="inlineStr">
        <is>
          <t>L-038</t>
        </is>
      </c>
      <c r="B39" s="12" t="inlineStr">
        <is>
          <t>Object to application</t>
        </is>
      </c>
      <c r="C39" s="12" t="inlineStr">
        <is>
          <t>OBJ-09</t>
        </is>
      </c>
      <c r="D39" s="12" t="inlineStr">
        <is>
          <t>APP-002</t>
        </is>
      </c>
      <c r="E39" s="12" t="inlineStr">
        <is>
          <t>Core ERP</t>
        </is>
      </c>
      <c r="F39" s="12" t="inlineStr">
        <is>
          <t>Master</t>
        </is>
      </c>
      <c r="G39" s="12" t="inlineStr"/>
      <c r="H39" s="12" t="inlineStr"/>
      <c r="I39" s="20">
        <f>IF(H39="","",H39-Settings!$B$2)</f>
        <v/>
      </c>
      <c r="J39" s="12" t="inlineStr"/>
    </row>
    <row r="40">
      <c r="A40" s="12" t="inlineStr">
        <is>
          <t>L-039</t>
        </is>
      </c>
      <c r="B40" s="12" t="inlineStr">
        <is>
          <t>Object to capability</t>
        </is>
      </c>
      <c r="C40" s="12" t="inlineStr">
        <is>
          <t>OBJ-10</t>
        </is>
      </c>
      <c r="D40" s="12" t="inlineStr">
        <is>
          <t>CAP-027</t>
        </is>
      </c>
      <c r="E40" s="12" t="inlineStr">
        <is>
          <t>Marketing</t>
        </is>
      </c>
      <c r="F40" s="12" t="inlineStr">
        <is>
          <t>Owns lifecycle</t>
        </is>
      </c>
      <c r="G40" s="12" t="inlineStr"/>
      <c r="H40" s="12" t="inlineStr"/>
      <c r="I40" s="20">
        <f>IF(H40="","",H40-Settings!$B$2)</f>
        <v/>
      </c>
      <c r="J40" s="12" t="inlineStr"/>
    </row>
    <row r="41">
      <c r="A41" s="12" t="inlineStr">
        <is>
          <t>L-040</t>
        </is>
      </c>
      <c r="B41" s="12" t="inlineStr">
        <is>
          <t>Object to application</t>
        </is>
      </c>
      <c r="C41" s="12" t="inlineStr">
        <is>
          <t>OBJ-10</t>
        </is>
      </c>
      <c r="D41" s="12" t="inlineStr">
        <is>
          <t>APP-070</t>
        </is>
      </c>
      <c r="E41" s="12" t="inlineStr">
        <is>
          <t>Promotion tool</t>
        </is>
      </c>
      <c r="F41" s="12" t="inlineStr">
        <is>
          <t>Master</t>
        </is>
      </c>
      <c r="G41" s="12" t="inlineStr"/>
      <c r="H41" s="12" t="inlineStr"/>
      <c r="I41" s="20">
        <f>IF(H41="","",H41-Settings!$B$2)</f>
        <v/>
      </c>
      <c r="J41" s="12" t="inlineStr">
        <is>
          <t>Exception EXC-12 - migration to the core in wave three</t>
        </is>
      </c>
    </row>
    <row r="42">
      <c r="A42" s="12" t="inlineStr">
        <is>
          <t>L-041</t>
        </is>
      </c>
      <c r="B42" s="12" t="inlineStr">
        <is>
          <t>Object to application</t>
        </is>
      </c>
      <c r="C42" s="12" t="inlineStr">
        <is>
          <t>OBJ-10</t>
        </is>
      </c>
      <c r="D42" s="12" t="inlineStr">
        <is>
          <t>APP-002</t>
        </is>
      </c>
      <c r="E42" s="12" t="inlineStr">
        <is>
          <t>Core ERP</t>
        </is>
      </c>
      <c r="F42" s="12" t="inlineStr">
        <is>
          <t>Consumer</t>
        </is>
      </c>
      <c r="G42" s="12" t="inlineStr"/>
      <c r="H42" s="12" t="inlineStr"/>
      <c r="I42" s="20">
        <f>IF(H42="","",H42-Settings!$B$2)</f>
        <v/>
      </c>
      <c r="J42" s="12" t="inlineStr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20">
        <f>IF(H43="","",H43-Settings!$B$2)</f>
        <v/>
      </c>
      <c r="J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20">
        <f>IF(H44="","",H44-Settings!$B$2)</f>
        <v/>
      </c>
      <c r="J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20">
        <f>IF(H45="","",H45-Settings!$B$2)</f>
        <v/>
      </c>
      <c r="J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20">
        <f>IF(H46="","",H46-Settings!$B$2)</f>
        <v/>
      </c>
      <c r="J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20">
        <f>IF(H47="","",H47-Settings!$B$2)</f>
        <v/>
      </c>
      <c r="J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20">
        <f>IF(H48="","",H48-Settings!$B$2)</f>
        <v/>
      </c>
      <c r="J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20">
        <f>IF(H49="","",H49-Settings!$B$2)</f>
        <v/>
      </c>
      <c r="J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20">
        <f>IF(H50="","",H50-Settings!$B$2)</f>
        <v/>
      </c>
      <c r="J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20">
        <f>IF(H51="","",H51-Settings!$B$2)</f>
        <v/>
      </c>
      <c r="J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20">
        <f>IF(H52="","",H52-Settings!$B$2)</f>
        <v/>
      </c>
      <c r="J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20">
        <f>IF(H53="","",H53-Settings!$B$2)</f>
        <v/>
      </c>
      <c r="J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20">
        <f>IF(H54="","",H54-Settings!$B$2)</f>
        <v/>
      </c>
      <c r="J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20">
        <f>IF(H55="","",H55-Settings!$B$2)</f>
        <v/>
      </c>
      <c r="J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20">
        <f>IF(H56="","",H56-Settings!$B$2)</f>
        <v/>
      </c>
      <c r="J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20">
        <f>IF(H57="","",H57-Settings!$B$2)</f>
        <v/>
      </c>
      <c r="J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20">
        <f>IF(H58="","",H58-Settings!$B$2)</f>
        <v/>
      </c>
      <c r="J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20">
        <f>IF(H59="","",H59-Settings!$B$2)</f>
        <v/>
      </c>
      <c r="J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20">
        <f>IF(H60="","",H60-Settings!$B$2)</f>
        <v/>
      </c>
      <c r="J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20">
        <f>IF(H61="","",H61-Settings!$B$2)</f>
        <v/>
      </c>
      <c r="J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20">
        <f>IF(H62="","",H62-Settings!$B$2)</f>
        <v/>
      </c>
      <c r="J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20">
        <f>IF(H63="","",H63-Settings!$B$2)</f>
        <v/>
      </c>
      <c r="J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20">
        <f>IF(H64="","",H64-Settings!$B$2)</f>
        <v/>
      </c>
      <c r="J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20">
        <f>IF(H65="","",H65-Settings!$B$2)</f>
        <v/>
      </c>
      <c r="J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20">
        <f>IF(H66="","",H66-Settings!$B$2)</f>
        <v/>
      </c>
      <c r="J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20">
        <f>IF(H67="","",H67-Settings!$B$2)</f>
        <v/>
      </c>
      <c r="J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20">
        <f>IF(H68="","",H68-Settings!$B$2)</f>
        <v/>
      </c>
      <c r="J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20">
        <f>IF(H69="","",H69-Settings!$B$2)</f>
        <v/>
      </c>
      <c r="J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20">
        <f>IF(H70="","",H70-Settings!$B$2)</f>
        <v/>
      </c>
      <c r="J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20">
        <f>IF(H71="","",H71-Settings!$B$2)</f>
        <v/>
      </c>
      <c r="J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20">
        <f>IF(H72="","",H72-Settings!$B$2)</f>
        <v/>
      </c>
      <c r="J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20">
        <f>IF(H73="","",H73-Settings!$B$2)</f>
        <v/>
      </c>
      <c r="J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20">
        <f>IF(H74="","",H74-Settings!$B$2)</f>
        <v/>
      </c>
      <c r="J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20">
        <f>IF(H75="","",H75-Settings!$B$2)</f>
        <v/>
      </c>
      <c r="J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20">
        <f>IF(H76="","",H76-Settings!$B$2)</f>
        <v/>
      </c>
      <c r="J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20">
        <f>IF(H77="","",H77-Settings!$B$2)</f>
        <v/>
      </c>
      <c r="J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20">
        <f>IF(H78="","",H78-Settings!$B$2)</f>
        <v/>
      </c>
      <c r="J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20">
        <f>IF(H79="","",H79-Settings!$B$2)</f>
        <v/>
      </c>
      <c r="J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20">
        <f>IF(H80="","",H80-Settings!$B$2)</f>
        <v/>
      </c>
      <c r="J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20">
        <f>IF(H81="","",H81-Settings!$B$2)</f>
        <v/>
      </c>
      <c r="J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20">
        <f>IF(H82="","",H82-Settings!$B$2)</f>
        <v/>
      </c>
      <c r="J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20">
        <f>IF(H83="","",H83-Settings!$B$2)</f>
        <v/>
      </c>
      <c r="J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20">
        <f>IF(H84="","",H84-Settings!$B$2)</f>
        <v/>
      </c>
      <c r="J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20">
        <f>IF(H85="","",H85-Settings!$B$2)</f>
        <v/>
      </c>
      <c r="J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20">
        <f>IF(H86="","",H86-Settings!$B$2)</f>
        <v/>
      </c>
      <c r="J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20">
        <f>IF(H87="","",H87-Settings!$B$2)</f>
        <v/>
      </c>
      <c r="J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20">
        <f>IF(H88="","",H88-Settings!$B$2)</f>
        <v/>
      </c>
      <c r="J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20">
        <f>IF(H89="","",H89-Settings!$B$2)</f>
        <v/>
      </c>
      <c r="J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20">
        <f>IF(H90="","",H90-Settings!$B$2)</f>
        <v/>
      </c>
      <c r="J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20">
        <f>IF(H91="","",H91-Settings!$B$2)</f>
        <v/>
      </c>
      <c r="J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20">
        <f>IF(H92="","",H92-Settings!$B$2)</f>
        <v/>
      </c>
      <c r="J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20">
        <f>IF(H93="","",H93-Settings!$B$2)</f>
        <v/>
      </c>
      <c r="J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20">
        <f>IF(H94="","",H94-Settings!$B$2)</f>
        <v/>
      </c>
      <c r="J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20">
        <f>IF(H95="","",H95-Settings!$B$2)</f>
        <v/>
      </c>
      <c r="J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20">
        <f>IF(H96="","",H96-Settings!$B$2)</f>
        <v/>
      </c>
      <c r="J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20">
        <f>IF(H97="","",H97-Settings!$B$2)</f>
        <v/>
      </c>
      <c r="J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20">
        <f>IF(H98="","",H98-Settings!$B$2)</f>
        <v/>
      </c>
      <c r="J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20">
        <f>IF(H99="","",H99-Settings!$B$2)</f>
        <v/>
      </c>
      <c r="J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20">
        <f>IF(H100="","",H100-Settings!$B$2)</f>
        <v/>
      </c>
      <c r="J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20">
        <f>IF(H101="","",H101-Settings!$B$2)</f>
        <v/>
      </c>
      <c r="J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20">
        <f>IF(H102="","",H102-Settings!$B$2)</f>
        <v/>
      </c>
      <c r="J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20">
        <f>IF(H103="","",H103-Settings!$B$2)</f>
        <v/>
      </c>
      <c r="J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20">
        <f>IF(H104="","",H104-Settings!$B$2)</f>
        <v/>
      </c>
      <c r="J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20">
        <f>IF(H105="","",H105-Settings!$B$2)</f>
        <v/>
      </c>
      <c r="J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20">
        <f>IF(H106="","",H106-Settings!$B$2)</f>
        <v/>
      </c>
      <c r="J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20">
        <f>IF(H107="","",H107-Settings!$B$2)</f>
        <v/>
      </c>
      <c r="J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20">
        <f>IF(H108="","",H108-Settings!$B$2)</f>
        <v/>
      </c>
      <c r="J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20">
        <f>IF(H109="","",H109-Settings!$B$2)</f>
        <v/>
      </c>
      <c r="J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20">
        <f>IF(H110="","",H110-Settings!$B$2)</f>
        <v/>
      </c>
      <c r="J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20">
        <f>IF(H111="","",H111-Settings!$B$2)</f>
        <v/>
      </c>
      <c r="J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20">
        <f>IF(H112="","",H112-Settings!$B$2)</f>
        <v/>
      </c>
      <c r="J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20">
        <f>IF(H113="","",H113-Settings!$B$2)</f>
        <v/>
      </c>
      <c r="J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20">
        <f>IF(H114="","",H114-Settings!$B$2)</f>
        <v/>
      </c>
      <c r="J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20">
        <f>IF(H115="","",H115-Settings!$B$2)</f>
        <v/>
      </c>
      <c r="J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20">
        <f>IF(H116="","",H116-Settings!$B$2)</f>
        <v/>
      </c>
      <c r="J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20">
        <f>IF(H117="","",H117-Settings!$B$2)</f>
        <v/>
      </c>
      <c r="J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20">
        <f>IF(H118="","",H118-Settings!$B$2)</f>
        <v/>
      </c>
      <c r="J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20">
        <f>IF(H119="","",H119-Settings!$B$2)</f>
        <v/>
      </c>
      <c r="J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20">
        <f>IF(H120="","",H120-Settings!$B$2)</f>
        <v/>
      </c>
      <c r="J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20">
        <f>IF(H121="","",H121-Settings!$B$2)</f>
        <v/>
      </c>
      <c r="J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20">
        <f>IF(H122="","",H122-Settings!$B$2)</f>
        <v/>
      </c>
      <c r="J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20">
        <f>IF(H123="","",H123-Settings!$B$2)</f>
        <v/>
      </c>
      <c r="J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20">
        <f>IF(H124="","",H124-Settings!$B$2)</f>
        <v/>
      </c>
      <c r="J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20">
        <f>IF(H125="","",H125-Settings!$B$2)</f>
        <v/>
      </c>
      <c r="J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20">
        <f>IF(H126="","",H126-Settings!$B$2)</f>
        <v/>
      </c>
      <c r="J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20">
        <f>IF(H127="","",H127-Settings!$B$2)</f>
        <v/>
      </c>
      <c r="J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20">
        <f>IF(H128="","",H128-Settings!$B$2)</f>
        <v/>
      </c>
      <c r="J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20">
        <f>IF(H129="","",H129-Settings!$B$2)</f>
        <v/>
      </c>
      <c r="J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20">
        <f>IF(H130="","",H130-Settings!$B$2)</f>
        <v/>
      </c>
      <c r="J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20">
        <f>IF(H131="","",H131-Settings!$B$2)</f>
        <v/>
      </c>
      <c r="J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20">
        <f>IF(H132="","",H132-Settings!$B$2)</f>
        <v/>
      </c>
      <c r="J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20">
        <f>IF(H133="","",H133-Settings!$B$2)</f>
        <v/>
      </c>
      <c r="J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20">
        <f>IF(H134="","",H134-Settings!$B$2)</f>
        <v/>
      </c>
      <c r="J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20">
        <f>IF(H135="","",H135-Settings!$B$2)</f>
        <v/>
      </c>
      <c r="J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20">
        <f>IF(H136="","",H136-Settings!$B$2)</f>
        <v/>
      </c>
      <c r="J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20">
        <f>IF(H137="","",H137-Settings!$B$2)</f>
        <v/>
      </c>
      <c r="J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20">
        <f>IF(H138="","",H138-Settings!$B$2)</f>
        <v/>
      </c>
      <c r="J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20">
        <f>IF(H139="","",H139-Settings!$B$2)</f>
        <v/>
      </c>
      <c r="J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20">
        <f>IF(H140="","",H140-Settings!$B$2)</f>
        <v/>
      </c>
      <c r="J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20">
        <f>IF(H141="","",H141-Settings!$B$2)</f>
        <v/>
      </c>
      <c r="J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20">
        <f>IF(H142="","",H142-Settings!$B$2)</f>
        <v/>
      </c>
      <c r="J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20">
        <f>IF(H143="","",H143-Settings!$B$2)</f>
        <v/>
      </c>
      <c r="J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20">
        <f>IF(H144="","",H144-Settings!$B$2)</f>
        <v/>
      </c>
      <c r="J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20">
        <f>IF(H145="","",H145-Settings!$B$2)</f>
        <v/>
      </c>
      <c r="J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20">
        <f>IF(H146="","",H146-Settings!$B$2)</f>
        <v/>
      </c>
      <c r="J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20">
        <f>IF(H147="","",H147-Settings!$B$2)</f>
        <v/>
      </c>
      <c r="J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20">
        <f>IF(H148="","",H148-Settings!$B$2)</f>
        <v/>
      </c>
      <c r="J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20">
        <f>IF(H149="","",H149-Settings!$B$2)</f>
        <v/>
      </c>
      <c r="J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20">
        <f>IF(H150="","",H150-Settings!$B$2)</f>
        <v/>
      </c>
      <c r="J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20">
        <f>IF(H151="","",H151-Settings!$B$2)</f>
        <v/>
      </c>
      <c r="J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20">
        <f>IF(H152="","",H152-Settings!$B$2)</f>
        <v/>
      </c>
      <c r="J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20">
        <f>IF(H153="","",H153-Settings!$B$2)</f>
        <v/>
      </c>
      <c r="J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20">
        <f>IF(H154="","",H154-Settings!$B$2)</f>
        <v/>
      </c>
      <c r="J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20">
        <f>IF(H155="","",H155-Settings!$B$2)</f>
        <v/>
      </c>
      <c r="J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20">
        <f>IF(H156="","",H156-Settings!$B$2)</f>
        <v/>
      </c>
      <c r="J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20">
        <f>IF(H157="","",H157-Settings!$B$2)</f>
        <v/>
      </c>
      <c r="J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20">
        <f>IF(H158="","",H158-Settings!$B$2)</f>
        <v/>
      </c>
      <c r="J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20">
        <f>IF(H159="","",H159-Settings!$B$2)</f>
        <v/>
      </c>
      <c r="J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20">
        <f>IF(H160="","",H160-Settings!$B$2)</f>
        <v/>
      </c>
      <c r="J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20">
        <f>IF(H161="","",H161-Settings!$B$2)</f>
        <v/>
      </c>
      <c r="J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20">
        <f>IF(H162="","",H162-Settings!$B$2)</f>
        <v/>
      </c>
      <c r="J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20">
        <f>IF(H163="","",H163-Settings!$B$2)</f>
        <v/>
      </c>
      <c r="J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20">
        <f>IF(H164="","",H164-Settings!$B$2)</f>
        <v/>
      </c>
      <c r="J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20">
        <f>IF(H165="","",H165-Settings!$B$2)</f>
        <v/>
      </c>
      <c r="J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20">
        <f>IF(H166="","",H166-Settings!$B$2)</f>
        <v/>
      </c>
      <c r="J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20">
        <f>IF(H167="","",H167-Settings!$B$2)</f>
        <v/>
      </c>
      <c r="J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20">
        <f>IF(H168="","",H168-Settings!$B$2)</f>
        <v/>
      </c>
      <c r="J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20">
        <f>IF(H169="","",H169-Settings!$B$2)</f>
        <v/>
      </c>
      <c r="J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20">
        <f>IF(H170="","",H170-Settings!$B$2)</f>
        <v/>
      </c>
      <c r="J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20">
        <f>IF(H171="","",H171-Settings!$B$2)</f>
        <v/>
      </c>
      <c r="J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20">
        <f>IF(H172="","",H172-Settings!$B$2)</f>
        <v/>
      </c>
      <c r="J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20">
        <f>IF(H173="","",H173-Settings!$B$2)</f>
        <v/>
      </c>
      <c r="J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20">
        <f>IF(H174="","",H174-Settings!$B$2)</f>
        <v/>
      </c>
      <c r="J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20">
        <f>IF(H175="","",H175-Settings!$B$2)</f>
        <v/>
      </c>
      <c r="J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20">
        <f>IF(H176="","",H176-Settings!$B$2)</f>
        <v/>
      </c>
      <c r="J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20">
        <f>IF(H177="","",H177-Settings!$B$2)</f>
        <v/>
      </c>
      <c r="J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20">
        <f>IF(H178="","",H178-Settings!$B$2)</f>
        <v/>
      </c>
      <c r="J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20">
        <f>IF(H179="","",H179-Settings!$B$2)</f>
        <v/>
      </c>
      <c r="J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20">
        <f>IF(H180="","",H180-Settings!$B$2)</f>
        <v/>
      </c>
      <c r="J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20">
        <f>IF(H181="","",H181-Settings!$B$2)</f>
        <v/>
      </c>
      <c r="J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20">
        <f>IF(H182="","",H182-Settings!$B$2)</f>
        <v/>
      </c>
      <c r="J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20">
        <f>IF(H183="","",H183-Settings!$B$2)</f>
        <v/>
      </c>
      <c r="J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20">
        <f>IF(H184="","",H184-Settings!$B$2)</f>
        <v/>
      </c>
      <c r="J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20">
        <f>IF(H185="","",H185-Settings!$B$2)</f>
        <v/>
      </c>
      <c r="J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20">
        <f>IF(H186="","",H186-Settings!$B$2)</f>
        <v/>
      </c>
      <c r="J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20">
        <f>IF(H187="","",H187-Settings!$B$2)</f>
        <v/>
      </c>
      <c r="J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20">
        <f>IF(H188="","",H188-Settings!$B$2)</f>
        <v/>
      </c>
      <c r="J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20">
        <f>IF(H189="","",H189-Settings!$B$2)</f>
        <v/>
      </c>
      <c r="J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20">
        <f>IF(H190="","",H190-Settings!$B$2)</f>
        <v/>
      </c>
      <c r="J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20">
        <f>IF(H191="","",H191-Settings!$B$2)</f>
        <v/>
      </c>
      <c r="J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20">
        <f>IF(H192="","",H192-Settings!$B$2)</f>
        <v/>
      </c>
      <c r="J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20">
        <f>IF(H193="","",H193-Settings!$B$2)</f>
        <v/>
      </c>
      <c r="J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20">
        <f>IF(H194="","",H194-Settings!$B$2)</f>
        <v/>
      </c>
      <c r="J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20">
        <f>IF(H195="","",H195-Settings!$B$2)</f>
        <v/>
      </c>
      <c r="J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20">
        <f>IF(H196="","",H196-Settings!$B$2)</f>
        <v/>
      </c>
      <c r="J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20">
        <f>IF(H197="","",H197-Settings!$B$2)</f>
        <v/>
      </c>
      <c r="J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20">
        <f>IF(H198="","",H198-Settings!$B$2)</f>
        <v/>
      </c>
      <c r="J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20">
        <f>IF(H199="","",H199-Settings!$B$2)</f>
        <v/>
      </c>
      <c r="J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20">
        <f>IF(H200="","",H200-Settings!$B$2)</f>
        <v/>
      </c>
      <c r="J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20">
        <f>IF(H201="","",H201-Settings!$B$2)</f>
        <v/>
      </c>
      <c r="J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20">
        <f>IF(H202="","",H202-Settings!$B$2)</f>
        <v/>
      </c>
      <c r="J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20">
        <f>IF(H203="","",H203-Settings!$B$2)</f>
        <v/>
      </c>
      <c r="J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20">
        <f>IF(H204="","",H204-Settings!$B$2)</f>
        <v/>
      </c>
      <c r="J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20">
        <f>IF(H205="","",H205-Settings!$B$2)</f>
        <v/>
      </c>
      <c r="J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20">
        <f>IF(H206="","",H206-Settings!$B$2)</f>
        <v/>
      </c>
      <c r="J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20">
        <f>IF(H207="","",H207-Settings!$B$2)</f>
        <v/>
      </c>
      <c r="J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20">
        <f>IF(H208="","",H208-Settings!$B$2)</f>
        <v/>
      </c>
      <c r="J208" s="16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20">
        <f>IF(H209="","",H209-Settings!$B$2)</f>
        <v/>
      </c>
      <c r="J209" s="16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20">
        <f>IF(H210="","",H210-Settings!$B$2)</f>
        <v/>
      </c>
      <c r="J210" s="16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20">
        <f>IF(H211="","",H211-Settings!$B$2)</f>
        <v/>
      </c>
      <c r="J211" s="16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20">
        <f>IF(H212="","",H212-Settings!$B$2)</f>
        <v/>
      </c>
      <c r="J212" s="16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20">
        <f>IF(H213="","",H213-Settings!$B$2)</f>
        <v/>
      </c>
      <c r="J213" s="16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20">
        <f>IF(H214="","",H214-Settings!$B$2)</f>
        <v/>
      </c>
      <c r="J214" s="16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20">
        <f>IF(H215="","",H215-Settings!$B$2)</f>
        <v/>
      </c>
      <c r="J215" s="16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20">
        <f>IF(H216="","",H216-Settings!$B$2)</f>
        <v/>
      </c>
      <c r="J216" s="16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20">
        <f>IF(H217="","",H217-Settings!$B$2)</f>
        <v/>
      </c>
      <c r="J217" s="16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20">
        <f>IF(H218="","",H218-Settings!$B$2)</f>
        <v/>
      </c>
      <c r="J218" s="16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20">
        <f>IF(H219="","",H219-Settings!$B$2)</f>
        <v/>
      </c>
      <c r="J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20">
        <f>IF(H220="","",H220-Settings!$B$2)</f>
        <v/>
      </c>
      <c r="J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20">
        <f>IF(H221="","",H221-Settings!$B$2)</f>
        <v/>
      </c>
      <c r="J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20">
        <f>IF(H222="","",H222-Settings!$B$2)</f>
        <v/>
      </c>
      <c r="J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20">
        <f>IF(H223="","",H223-Settings!$B$2)</f>
        <v/>
      </c>
      <c r="J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20">
        <f>IF(H224="","",H224-Settings!$B$2)</f>
        <v/>
      </c>
      <c r="J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20">
        <f>IF(H225="","",H225-Settings!$B$2)</f>
        <v/>
      </c>
      <c r="J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20">
        <f>IF(H226="","",H226-Settings!$B$2)</f>
        <v/>
      </c>
      <c r="J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20">
        <f>IF(H227="","",H227-Settings!$B$2)</f>
        <v/>
      </c>
      <c r="J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20">
        <f>IF(H228="","",H228-Settings!$B$2)</f>
        <v/>
      </c>
      <c r="J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20">
        <f>IF(H229="","",H229-Settings!$B$2)</f>
        <v/>
      </c>
      <c r="J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20">
        <f>IF(H230="","",H230-Settings!$B$2)</f>
        <v/>
      </c>
      <c r="J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20">
        <f>IF(H231="","",H231-Settings!$B$2)</f>
        <v/>
      </c>
      <c r="J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20">
        <f>IF(H232="","",H232-Settings!$B$2)</f>
        <v/>
      </c>
      <c r="J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20">
        <f>IF(H233="","",H233-Settings!$B$2)</f>
        <v/>
      </c>
      <c r="J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20">
        <f>IF(H234="","",H234-Settings!$B$2)</f>
        <v/>
      </c>
      <c r="J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20">
        <f>IF(H235="","",H235-Settings!$B$2)</f>
        <v/>
      </c>
      <c r="J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20">
        <f>IF(H236="","",H236-Settings!$B$2)</f>
        <v/>
      </c>
      <c r="J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20">
        <f>IF(H237="","",H237-Settings!$B$2)</f>
        <v/>
      </c>
      <c r="J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20">
        <f>IF(H238="","",H238-Settings!$B$2)</f>
        <v/>
      </c>
      <c r="J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20">
        <f>IF(H239="","",H239-Settings!$B$2)</f>
        <v/>
      </c>
      <c r="J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20">
        <f>IF(H240="","",H240-Settings!$B$2)</f>
        <v/>
      </c>
      <c r="J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20">
        <f>IF(H241="","",H241-Settings!$B$2)</f>
        <v/>
      </c>
      <c r="J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20">
        <f>IF(H242="","",H242-Settings!$B$2)</f>
        <v/>
      </c>
      <c r="J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20">
        <f>IF(H243="","",H243-Settings!$B$2)</f>
        <v/>
      </c>
      <c r="J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20">
        <f>IF(H244="","",H244-Settings!$B$2)</f>
        <v/>
      </c>
      <c r="J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20">
        <f>IF(H245="","",H245-Settings!$B$2)</f>
        <v/>
      </c>
      <c r="J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20">
        <f>IF(H246="","",H246-Settings!$B$2)</f>
        <v/>
      </c>
      <c r="J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20">
        <f>IF(H247="","",H247-Settings!$B$2)</f>
        <v/>
      </c>
      <c r="J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20">
        <f>IF(H248="","",H248-Settings!$B$2)</f>
        <v/>
      </c>
      <c r="J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20">
        <f>IF(H249="","",H249-Settings!$B$2)</f>
        <v/>
      </c>
      <c r="J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20">
        <f>IF(H250="","",H250-Settings!$B$2)</f>
        <v/>
      </c>
      <c r="J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20">
        <f>IF(H251="","",H251-Settings!$B$2)</f>
        <v/>
      </c>
      <c r="J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20">
        <f>IF(H252="","",H252-Settings!$B$2)</f>
        <v/>
      </c>
      <c r="J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20">
        <f>IF(H253="","",H253-Settings!$B$2)</f>
        <v/>
      </c>
      <c r="J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20">
        <f>IF(H254="","",H254-Settings!$B$2)</f>
        <v/>
      </c>
      <c r="J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20">
        <f>IF(H255="","",H255-Settings!$B$2)</f>
        <v/>
      </c>
      <c r="J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20">
        <f>IF(H256="","",H256-Settings!$B$2)</f>
        <v/>
      </c>
      <c r="J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20">
        <f>IF(H257="","",H257-Settings!$B$2)</f>
        <v/>
      </c>
      <c r="J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20">
        <f>IF(H258="","",H258-Settings!$B$2)</f>
        <v/>
      </c>
      <c r="J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20">
        <f>IF(H259="","",H259-Settings!$B$2)</f>
        <v/>
      </c>
      <c r="J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20">
        <f>IF(H260="","",H260-Settings!$B$2)</f>
        <v/>
      </c>
      <c r="J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20">
        <f>IF(H261="","",H261-Settings!$B$2)</f>
        <v/>
      </c>
      <c r="J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20">
        <f>IF(H262="","",H262-Settings!$B$2)</f>
        <v/>
      </c>
      <c r="J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20">
        <f>IF(H263="","",H263-Settings!$B$2)</f>
        <v/>
      </c>
      <c r="J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20">
        <f>IF(H264="","",H264-Settings!$B$2)</f>
        <v/>
      </c>
      <c r="J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20">
        <f>IF(H265="","",H265-Settings!$B$2)</f>
        <v/>
      </c>
      <c r="J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20">
        <f>IF(H266="","",H266-Settings!$B$2)</f>
        <v/>
      </c>
      <c r="J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20">
        <f>IF(H267="","",H267-Settings!$B$2)</f>
        <v/>
      </c>
      <c r="J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20">
        <f>IF(H268="","",H268-Settings!$B$2)</f>
        <v/>
      </c>
      <c r="J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20">
        <f>IF(H269="","",H269-Settings!$B$2)</f>
        <v/>
      </c>
      <c r="J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20">
        <f>IF(H270="","",H270-Settings!$B$2)</f>
        <v/>
      </c>
      <c r="J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20">
        <f>IF(H271="","",H271-Settings!$B$2)</f>
        <v/>
      </c>
      <c r="J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20">
        <f>IF(H272="","",H272-Settings!$B$2)</f>
        <v/>
      </c>
      <c r="J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20">
        <f>IF(H273="","",H273-Settings!$B$2)</f>
        <v/>
      </c>
      <c r="J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20">
        <f>IF(H274="","",H274-Settings!$B$2)</f>
        <v/>
      </c>
      <c r="J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20">
        <f>IF(H275="","",H275-Settings!$B$2)</f>
        <v/>
      </c>
      <c r="J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20">
        <f>IF(H276="","",H276-Settings!$B$2)</f>
        <v/>
      </c>
      <c r="J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20">
        <f>IF(H277="","",H277-Settings!$B$2)</f>
        <v/>
      </c>
      <c r="J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20">
        <f>IF(H278="","",H278-Settings!$B$2)</f>
        <v/>
      </c>
      <c r="J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20">
        <f>IF(H279="","",H279-Settings!$B$2)</f>
        <v/>
      </c>
      <c r="J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20">
        <f>IF(H280="","",H280-Settings!$B$2)</f>
        <v/>
      </c>
      <c r="J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20">
        <f>IF(H281="","",H281-Settings!$B$2)</f>
        <v/>
      </c>
      <c r="J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20">
        <f>IF(H282="","",H282-Settings!$B$2)</f>
        <v/>
      </c>
      <c r="J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20">
        <f>IF(H283="","",H283-Settings!$B$2)</f>
        <v/>
      </c>
      <c r="J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20">
        <f>IF(H284="","",H284-Settings!$B$2)</f>
        <v/>
      </c>
      <c r="J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20">
        <f>IF(H285="","",H285-Settings!$B$2)</f>
        <v/>
      </c>
      <c r="J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20">
        <f>IF(H286="","",H286-Settings!$B$2)</f>
        <v/>
      </c>
      <c r="J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20">
        <f>IF(H287="","",H287-Settings!$B$2)</f>
        <v/>
      </c>
      <c r="J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20">
        <f>IF(H288="","",H288-Settings!$B$2)</f>
        <v/>
      </c>
      <c r="J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20">
        <f>IF(H289="","",H289-Settings!$B$2)</f>
        <v/>
      </c>
      <c r="J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20">
        <f>IF(H290="","",H290-Settings!$B$2)</f>
        <v/>
      </c>
      <c r="J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20">
        <f>IF(H291="","",H291-Settings!$B$2)</f>
        <v/>
      </c>
      <c r="J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20">
        <f>IF(H292="","",H292-Settings!$B$2)</f>
        <v/>
      </c>
      <c r="J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20">
        <f>IF(H293="","",H293-Settings!$B$2)</f>
        <v/>
      </c>
      <c r="J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20">
        <f>IF(H294="","",H294-Settings!$B$2)</f>
        <v/>
      </c>
      <c r="J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20">
        <f>IF(H295="","",H295-Settings!$B$2)</f>
        <v/>
      </c>
      <c r="J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20">
        <f>IF(H296="","",H296-Settings!$B$2)</f>
        <v/>
      </c>
      <c r="J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20">
        <f>IF(H297="","",H297-Settings!$B$2)</f>
        <v/>
      </c>
      <c r="J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20">
        <f>IF(H298="","",H298-Settings!$B$2)</f>
        <v/>
      </c>
      <c r="J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20">
        <f>IF(H299="","",H299-Settings!$B$2)</f>
        <v/>
      </c>
      <c r="J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20">
        <f>IF(H300="","",H300-Settings!$B$2)</f>
        <v/>
      </c>
      <c r="J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20">
        <f>IF(H301="","",H301-Settings!$B$2)</f>
        <v/>
      </c>
      <c r="J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20">
        <f>IF(H302="","",H302-Settings!$B$2)</f>
        <v/>
      </c>
      <c r="J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20">
        <f>IF(H303="","",H303-Settings!$B$2)</f>
        <v/>
      </c>
      <c r="J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20">
        <f>IF(H304="","",H304-Settings!$B$2)</f>
        <v/>
      </c>
      <c r="J304" s="16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20">
        <f>IF(H305="","",H305-Settings!$B$2)</f>
        <v/>
      </c>
      <c r="J305" s="16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20">
        <f>IF(H306="","",H306-Settings!$B$2)</f>
        <v/>
      </c>
      <c r="J306" s="16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20">
        <f>IF(H307="","",H307-Settings!$B$2)</f>
        <v/>
      </c>
      <c r="J307" s="16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20">
        <f>IF(H308="","",H308-Settings!$B$2)</f>
        <v/>
      </c>
      <c r="J308" s="16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20">
        <f>IF(H309="","",H309-Settings!$B$2)</f>
        <v/>
      </c>
      <c r="J309" s="16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20">
        <f>IF(H310="","",H310-Settings!$B$2)</f>
        <v/>
      </c>
      <c r="J310" s="16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20">
        <f>IF(H311="","",H311-Settings!$B$2)</f>
        <v/>
      </c>
      <c r="J311" s="16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20">
        <f>IF(H312="","",H312-Settings!$B$2)</f>
        <v/>
      </c>
      <c r="J312" s="16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20">
        <f>IF(H313="","",H313-Settings!$B$2)</f>
        <v/>
      </c>
      <c r="J313" s="16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20">
        <f>IF(H314="","",H314-Settings!$B$2)</f>
        <v/>
      </c>
      <c r="J314" s="16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20">
        <f>IF(H315="","",H315-Settings!$B$2)</f>
        <v/>
      </c>
      <c r="J315" s="16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20">
        <f>IF(H316="","",H316-Settings!$B$2)</f>
        <v/>
      </c>
      <c r="J316" s="16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20">
        <f>IF(H317="","",H317-Settings!$B$2)</f>
        <v/>
      </c>
      <c r="J317" s="16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20">
        <f>IF(H318="","",H318-Settings!$B$2)</f>
        <v/>
      </c>
      <c r="J318" s="16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20">
        <f>IF(H319="","",H319-Settings!$B$2)</f>
        <v/>
      </c>
      <c r="J319" s="16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20">
        <f>IF(H320="","",H320-Settings!$B$2)</f>
        <v/>
      </c>
      <c r="J320" s="16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20">
        <f>IF(H321="","",H321-Settings!$B$2)</f>
        <v/>
      </c>
      <c r="J321" s="16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20">
        <f>IF(H322="","",H322-Settings!$B$2)</f>
        <v/>
      </c>
      <c r="J322" s="16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20">
        <f>IF(H323="","",H323-Settings!$B$2)</f>
        <v/>
      </c>
      <c r="J323" s="16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20">
        <f>IF(H324="","",H324-Settings!$B$2)</f>
        <v/>
      </c>
      <c r="J324" s="16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20">
        <f>IF(H325="","",H325-Settings!$B$2)</f>
        <v/>
      </c>
      <c r="J325" s="16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20">
        <f>IF(H326="","",H326-Settings!$B$2)</f>
        <v/>
      </c>
      <c r="J326" s="16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20">
        <f>IF(H327="","",H327-Settings!$B$2)</f>
        <v/>
      </c>
      <c r="J327" s="16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20">
        <f>IF(H328="","",H328-Settings!$B$2)</f>
        <v/>
      </c>
      <c r="J328" s="16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20">
        <f>IF(H329="","",H329-Settings!$B$2)</f>
        <v/>
      </c>
      <c r="J329" s="16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20">
        <f>IF(H330="","",H330-Settings!$B$2)</f>
        <v/>
      </c>
      <c r="J330" s="16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20">
        <f>IF(H331="","",H331-Settings!$B$2)</f>
        <v/>
      </c>
      <c r="J331" s="16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20">
        <f>IF(H332="","",H332-Settings!$B$2)</f>
        <v/>
      </c>
      <c r="J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20">
        <f>IF(H333="","",H333-Settings!$B$2)</f>
        <v/>
      </c>
      <c r="J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20">
        <f>IF(H334="","",H334-Settings!$B$2)</f>
        <v/>
      </c>
      <c r="J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20">
        <f>IF(H335="","",H335-Settings!$B$2)</f>
        <v/>
      </c>
      <c r="J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20">
        <f>IF(H336="","",H336-Settings!$B$2)</f>
        <v/>
      </c>
      <c r="J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20">
        <f>IF(H337="","",H337-Settings!$B$2)</f>
        <v/>
      </c>
      <c r="J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20">
        <f>IF(H338="","",H338-Settings!$B$2)</f>
        <v/>
      </c>
      <c r="J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20">
        <f>IF(H339="","",H339-Settings!$B$2)</f>
        <v/>
      </c>
      <c r="J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20">
        <f>IF(H340="","",H340-Settings!$B$2)</f>
        <v/>
      </c>
      <c r="J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20">
        <f>IF(H341="","",H341-Settings!$B$2)</f>
        <v/>
      </c>
      <c r="J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20">
        <f>IF(H342="","",H342-Settings!$B$2)</f>
        <v/>
      </c>
      <c r="J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20">
        <f>IF(H343="","",H343-Settings!$B$2)</f>
        <v/>
      </c>
      <c r="J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20">
        <f>IF(H344="","",H344-Settings!$B$2)</f>
        <v/>
      </c>
      <c r="J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20">
        <f>IF(H345="","",H345-Settings!$B$2)</f>
        <v/>
      </c>
      <c r="J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20">
        <f>IF(H346="","",H346-Settings!$B$2)</f>
        <v/>
      </c>
      <c r="J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20">
        <f>IF(H347="","",H347-Settings!$B$2)</f>
        <v/>
      </c>
      <c r="J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20">
        <f>IF(H348="","",H348-Settings!$B$2)</f>
        <v/>
      </c>
      <c r="J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20">
        <f>IF(H349="","",H349-Settings!$B$2)</f>
        <v/>
      </c>
      <c r="J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20">
        <f>IF(H350="","",H350-Settings!$B$2)</f>
        <v/>
      </c>
      <c r="J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20">
        <f>IF(H351="","",H351-Settings!$B$2)</f>
        <v/>
      </c>
      <c r="J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20">
        <f>IF(H352="","",H352-Settings!$B$2)</f>
        <v/>
      </c>
      <c r="J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20">
        <f>IF(H353="","",H353-Settings!$B$2)</f>
        <v/>
      </c>
      <c r="J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20">
        <f>IF(H354="","",H354-Settings!$B$2)</f>
        <v/>
      </c>
      <c r="J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20">
        <f>IF(H355="","",H355-Settings!$B$2)</f>
        <v/>
      </c>
      <c r="J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20">
        <f>IF(H356="","",H356-Settings!$B$2)</f>
        <v/>
      </c>
      <c r="J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20">
        <f>IF(H357="","",H357-Settings!$B$2)</f>
        <v/>
      </c>
      <c r="J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20">
        <f>IF(H358="","",H358-Settings!$B$2)</f>
        <v/>
      </c>
      <c r="J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20">
        <f>IF(H359="","",H359-Settings!$B$2)</f>
        <v/>
      </c>
      <c r="J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20">
        <f>IF(H360="","",H360-Settings!$B$2)</f>
        <v/>
      </c>
      <c r="J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20">
        <f>IF(H361="","",H361-Settings!$B$2)</f>
        <v/>
      </c>
      <c r="J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20">
        <f>IF(H362="","",H362-Settings!$B$2)</f>
        <v/>
      </c>
      <c r="J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20">
        <f>IF(H363="","",H363-Settings!$B$2)</f>
        <v/>
      </c>
      <c r="J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20">
        <f>IF(H364="","",H364-Settings!$B$2)</f>
        <v/>
      </c>
      <c r="J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20">
        <f>IF(H365="","",H365-Settings!$B$2)</f>
        <v/>
      </c>
      <c r="J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20">
        <f>IF(H366="","",H366-Settings!$B$2)</f>
        <v/>
      </c>
      <c r="J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20">
        <f>IF(H367="","",H367-Settings!$B$2)</f>
        <v/>
      </c>
      <c r="J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20">
        <f>IF(H368="","",H368-Settings!$B$2)</f>
        <v/>
      </c>
      <c r="J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20">
        <f>IF(H369="","",H369-Settings!$B$2)</f>
        <v/>
      </c>
      <c r="J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20">
        <f>IF(H370="","",H370-Settings!$B$2)</f>
        <v/>
      </c>
      <c r="J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20">
        <f>IF(H371="","",H371-Settings!$B$2)</f>
        <v/>
      </c>
      <c r="J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20">
        <f>IF(H372="","",H372-Settings!$B$2)</f>
        <v/>
      </c>
      <c r="J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20">
        <f>IF(H373="","",H373-Settings!$B$2)</f>
        <v/>
      </c>
      <c r="J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20">
        <f>IF(H374="","",H374-Settings!$B$2)</f>
        <v/>
      </c>
      <c r="J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20">
        <f>IF(H375="","",H375-Settings!$B$2)</f>
        <v/>
      </c>
      <c r="J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20">
        <f>IF(H376="","",H376-Settings!$B$2)</f>
        <v/>
      </c>
      <c r="J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20">
        <f>IF(H377="","",H377-Settings!$B$2)</f>
        <v/>
      </c>
      <c r="J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20">
        <f>IF(H378="","",H378-Settings!$B$2)</f>
        <v/>
      </c>
      <c r="J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20">
        <f>IF(H379="","",H379-Settings!$B$2)</f>
        <v/>
      </c>
      <c r="J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20">
        <f>IF(H380="","",H380-Settings!$B$2)</f>
        <v/>
      </c>
      <c r="J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20">
        <f>IF(H381="","",H381-Settings!$B$2)</f>
        <v/>
      </c>
      <c r="J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20">
        <f>IF(H382="","",H382-Settings!$B$2)</f>
        <v/>
      </c>
      <c r="J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20">
        <f>IF(H383="","",H383-Settings!$B$2)</f>
        <v/>
      </c>
      <c r="J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20">
        <f>IF(H384="","",H384-Settings!$B$2)</f>
        <v/>
      </c>
      <c r="J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20">
        <f>IF(H385="","",H385-Settings!$B$2)</f>
        <v/>
      </c>
      <c r="J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20">
        <f>IF(H386="","",H386-Settings!$B$2)</f>
        <v/>
      </c>
      <c r="J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20">
        <f>IF(H387="","",H387-Settings!$B$2)</f>
        <v/>
      </c>
      <c r="J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20">
        <f>IF(H388="","",H388-Settings!$B$2)</f>
        <v/>
      </c>
      <c r="J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20">
        <f>IF(H389="","",H389-Settings!$B$2)</f>
        <v/>
      </c>
      <c r="J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20">
        <f>IF(H390="","",H390-Settings!$B$2)</f>
        <v/>
      </c>
      <c r="J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20">
        <f>IF(H391="","",H391-Settings!$B$2)</f>
        <v/>
      </c>
      <c r="J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20">
        <f>IF(H392="","",H392-Settings!$B$2)</f>
        <v/>
      </c>
      <c r="J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20">
        <f>IF(H393="","",H393-Settings!$B$2)</f>
        <v/>
      </c>
      <c r="J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20">
        <f>IF(H394="","",H394-Settings!$B$2)</f>
        <v/>
      </c>
      <c r="J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20">
        <f>IF(H395="","",H395-Settings!$B$2)</f>
        <v/>
      </c>
      <c r="J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20">
        <f>IF(H396="","",H396-Settings!$B$2)</f>
        <v/>
      </c>
      <c r="J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20">
        <f>IF(H397="","",H397-Settings!$B$2)</f>
        <v/>
      </c>
      <c r="J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20">
        <f>IF(H398="","",H398-Settings!$B$2)</f>
        <v/>
      </c>
      <c r="J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20">
        <f>IF(H399="","",H399-Settings!$B$2)</f>
        <v/>
      </c>
      <c r="J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20">
        <f>IF(H400="","",H400-Settings!$B$2)</f>
        <v/>
      </c>
      <c r="J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20">
        <f>IF(H401="","",H401-Settings!$B$2)</f>
        <v/>
      </c>
      <c r="J401" s="16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20">
        <f>IF(H402="","",H402-Settings!$B$2)</f>
        <v/>
      </c>
      <c r="J402" s="16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20">
        <f>IF(H403="","",H403-Settings!$B$2)</f>
        <v/>
      </c>
      <c r="J403" s="16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20">
        <f>IF(H404="","",H404-Settings!$B$2)</f>
        <v/>
      </c>
      <c r="J404" s="16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20">
        <f>IF(H405="","",H405-Settings!$B$2)</f>
        <v/>
      </c>
      <c r="J405" s="16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20">
        <f>IF(H406="","",H406-Settings!$B$2)</f>
        <v/>
      </c>
      <c r="J406" s="16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20">
        <f>IF(H407="","",H407-Settings!$B$2)</f>
        <v/>
      </c>
      <c r="J407" s="16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20">
        <f>IF(H408="","",H408-Settings!$B$2)</f>
        <v/>
      </c>
      <c r="J408" s="16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20">
        <f>IF(H409="","",H409-Settings!$B$2)</f>
        <v/>
      </c>
      <c r="J409" s="16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20">
        <f>IF(H410="","",H410-Settings!$B$2)</f>
        <v/>
      </c>
      <c r="J410" s="16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20">
        <f>IF(H411="","",H411-Settings!$B$2)</f>
        <v/>
      </c>
      <c r="J411" s="16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20">
        <f>IF(H412="","",H412-Settings!$B$2)</f>
        <v/>
      </c>
      <c r="J412" s="16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20">
        <f>IF(H413="","",H413-Settings!$B$2)</f>
        <v/>
      </c>
      <c r="J413" s="16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20">
        <f>IF(H414="","",H414-Settings!$B$2)</f>
        <v/>
      </c>
      <c r="J414" s="16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20">
        <f>IF(H415="","",H415-Settings!$B$2)</f>
        <v/>
      </c>
      <c r="J415" s="16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20">
        <f>IF(H416="","",H416-Settings!$B$2)</f>
        <v/>
      </c>
      <c r="J416" s="16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20">
        <f>IF(H417="","",H417-Settings!$B$2)</f>
        <v/>
      </c>
      <c r="J417" s="16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20">
        <f>IF(H418="","",H418-Settings!$B$2)</f>
        <v/>
      </c>
      <c r="J418" s="16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20">
        <f>IF(H419="","",H419-Settings!$B$2)</f>
        <v/>
      </c>
      <c r="J419" s="16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20">
        <f>IF(H420="","",H420-Settings!$B$2)</f>
        <v/>
      </c>
      <c r="J420" s="16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20">
        <f>IF(H421="","",H421-Settings!$B$2)</f>
        <v/>
      </c>
      <c r="J421" s="16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20">
        <f>IF(H422="","",H422-Settings!$B$2)</f>
        <v/>
      </c>
      <c r="J422" s="16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20">
        <f>IF(H423="","",H423-Settings!$B$2)</f>
        <v/>
      </c>
      <c r="J423" s="16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20">
        <f>IF(H424="","",H424-Settings!$B$2)</f>
        <v/>
      </c>
      <c r="J424" s="16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20">
        <f>IF(H425="","",H425-Settings!$B$2)</f>
        <v/>
      </c>
      <c r="J425" s="16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20">
        <f>IF(H426="","",H426-Settings!$B$2)</f>
        <v/>
      </c>
      <c r="J426" s="16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20">
        <f>IF(H427="","",H427-Settings!$B$2)</f>
        <v/>
      </c>
      <c r="J427" s="16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20">
        <f>IF(H428="","",H428-Settings!$B$2)</f>
        <v/>
      </c>
      <c r="J428" s="16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20">
        <f>IF(H429="","",H429-Settings!$B$2)</f>
        <v/>
      </c>
      <c r="J429" s="16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20">
        <f>IF(H430="","",H430-Settings!$B$2)</f>
        <v/>
      </c>
      <c r="J430" s="16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20">
        <f>IF(H431="","",H431-Settings!$B$2)</f>
        <v/>
      </c>
      <c r="J431" s="16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20">
        <f>IF(H432="","",H432-Settings!$B$2)</f>
        <v/>
      </c>
      <c r="J432" s="16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20">
        <f>IF(H433="","",H433-Settings!$B$2)</f>
        <v/>
      </c>
      <c r="J433" s="16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20">
        <f>IF(H434="","",H434-Settings!$B$2)</f>
        <v/>
      </c>
      <c r="J434" s="16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20">
        <f>IF(H435="","",H435-Settings!$B$2)</f>
        <v/>
      </c>
      <c r="J435" s="16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20">
        <f>IF(H436="","",H436-Settings!$B$2)</f>
        <v/>
      </c>
      <c r="J436" s="16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20">
        <f>IF(H437="","",H437-Settings!$B$2)</f>
        <v/>
      </c>
      <c r="J437" s="16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20">
        <f>IF(H438="","",H438-Settings!$B$2)</f>
        <v/>
      </c>
      <c r="J438" s="16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20">
        <f>IF(H439="","",H439-Settings!$B$2)</f>
        <v/>
      </c>
      <c r="J439" s="16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20">
        <f>IF(H440="","",H440-Settings!$B$2)</f>
        <v/>
      </c>
      <c r="J440" s="16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20">
        <f>IF(H441="","",H441-Settings!$B$2)</f>
        <v/>
      </c>
      <c r="J441" s="16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20">
        <f>IF(H442="","",H442-Settings!$B$2)</f>
        <v/>
      </c>
      <c r="J442" s="16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20">
        <f>IF(H443="","",H443-Settings!$B$2)</f>
        <v/>
      </c>
      <c r="J443" s="16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20">
        <f>IF(H444="","",H444-Settings!$B$2)</f>
        <v/>
      </c>
      <c r="J444" s="16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20">
        <f>IF(H445="","",H445-Settings!$B$2)</f>
        <v/>
      </c>
      <c r="J445" s="16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20">
        <f>IF(H446="","",H446-Settings!$B$2)</f>
        <v/>
      </c>
      <c r="J446" s="16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20">
        <f>IF(H447="","",H447-Settings!$B$2)</f>
        <v/>
      </c>
      <c r="J447" s="16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20">
        <f>IF(H448="","",H448-Settings!$B$2)</f>
        <v/>
      </c>
      <c r="J448" s="16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20">
        <f>IF(H449="","",H449-Settings!$B$2)</f>
        <v/>
      </c>
      <c r="J449" s="16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20">
        <f>IF(H450="","",H450-Settings!$B$2)</f>
        <v/>
      </c>
      <c r="J450" s="16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20">
        <f>IF(H451="","",H451-Settings!$B$2)</f>
        <v/>
      </c>
      <c r="J451" s="16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20">
        <f>IF(H452="","",H452-Settings!$B$2)</f>
        <v/>
      </c>
      <c r="J452" s="16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20">
        <f>IF(H453="","",H453-Settings!$B$2)</f>
        <v/>
      </c>
      <c r="J453" s="16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20">
        <f>IF(H454="","",H454-Settings!$B$2)</f>
        <v/>
      </c>
      <c r="J454" s="16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20">
        <f>IF(H455="","",H455-Settings!$B$2)</f>
        <v/>
      </c>
      <c r="J455" s="16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20">
        <f>IF(H456="","",H456-Settings!$B$2)</f>
        <v/>
      </c>
      <c r="J456" s="16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20">
        <f>IF(H457="","",H457-Settings!$B$2)</f>
        <v/>
      </c>
      <c r="J457" s="16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20">
        <f>IF(H458="","",H458-Settings!$B$2)</f>
        <v/>
      </c>
      <c r="J458" s="16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20">
        <f>IF(H459="","",H459-Settings!$B$2)</f>
        <v/>
      </c>
      <c r="J459" s="16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20">
        <f>IF(H460="","",H460-Settings!$B$2)</f>
        <v/>
      </c>
      <c r="J460" s="16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20">
        <f>IF(H461="","",H461-Settings!$B$2)</f>
        <v/>
      </c>
      <c r="J461" s="16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20">
        <f>IF(H462="","",H462-Settings!$B$2)</f>
        <v/>
      </c>
      <c r="J462" s="16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20">
        <f>IF(H463="","",H463-Settings!$B$2)</f>
        <v/>
      </c>
      <c r="J463" s="16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20">
        <f>IF(H464="","",H464-Settings!$B$2)</f>
        <v/>
      </c>
      <c r="J464" s="16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20">
        <f>IF(H465="","",H465-Settings!$B$2)</f>
        <v/>
      </c>
      <c r="J465" s="16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20">
        <f>IF(H466="","",H466-Settings!$B$2)</f>
        <v/>
      </c>
      <c r="J466" s="16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20">
        <f>IF(H467="","",H467-Settings!$B$2)</f>
        <v/>
      </c>
      <c r="J467" s="16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20">
        <f>IF(H468="","",H468-Settings!$B$2)</f>
        <v/>
      </c>
      <c r="J468" s="16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20">
        <f>IF(H469="","",H469-Settings!$B$2)</f>
        <v/>
      </c>
      <c r="J469" s="16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20">
        <f>IF(H470="","",H470-Settings!$B$2)</f>
        <v/>
      </c>
      <c r="J470" s="16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20">
        <f>IF(H471="","",H471-Settings!$B$2)</f>
        <v/>
      </c>
      <c r="J471" s="16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20">
        <f>IF(H472="","",H472-Settings!$B$2)</f>
        <v/>
      </c>
      <c r="J472" s="16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20">
        <f>IF(H473="","",H473-Settings!$B$2)</f>
        <v/>
      </c>
      <c r="J473" s="16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20">
        <f>IF(H474="","",H474-Settings!$B$2)</f>
        <v/>
      </c>
      <c r="J474" s="16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20">
        <f>IF(H475="","",H475-Settings!$B$2)</f>
        <v/>
      </c>
      <c r="J475" s="16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20">
        <f>IF(H476="","",H476-Settings!$B$2)</f>
        <v/>
      </c>
      <c r="J476" s="16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20">
        <f>IF(H477="","",H477-Settings!$B$2)</f>
        <v/>
      </c>
      <c r="J477" s="16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20">
        <f>IF(H478="","",H478-Settings!$B$2)</f>
        <v/>
      </c>
      <c r="J478" s="16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20">
        <f>IF(H479="","",H479-Settings!$B$2)</f>
        <v/>
      </c>
      <c r="J479" s="16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20">
        <f>IF(H480="","",H480-Settings!$B$2)</f>
        <v/>
      </c>
      <c r="J480" s="16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20">
        <f>IF(H481="","",H481-Settings!$B$2)</f>
        <v/>
      </c>
      <c r="J481" s="16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20">
        <f>IF(H482="","",H482-Settings!$B$2)</f>
        <v/>
      </c>
      <c r="J482" s="16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20">
        <f>IF(H483="","",H483-Settings!$B$2)</f>
        <v/>
      </c>
      <c r="J483" s="16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20">
        <f>IF(H484="","",H484-Settings!$B$2)</f>
        <v/>
      </c>
      <c r="J484" s="16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20">
        <f>IF(H485="","",H485-Settings!$B$2)</f>
        <v/>
      </c>
      <c r="J485" s="16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20">
        <f>IF(H486="","",H486-Settings!$B$2)</f>
        <v/>
      </c>
      <c r="J486" s="16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20">
        <f>IF(H487="","",H487-Settings!$B$2)</f>
        <v/>
      </c>
      <c r="J487" s="16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20">
        <f>IF(H488="","",H488-Settings!$B$2)</f>
        <v/>
      </c>
      <c r="J488" s="16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20">
        <f>IF(H489="","",H489-Settings!$B$2)</f>
        <v/>
      </c>
      <c r="J489" s="16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20">
        <f>IF(H490="","",H490-Settings!$B$2)</f>
        <v/>
      </c>
      <c r="J490" s="16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20">
        <f>IF(H491="","",H491-Settings!$B$2)</f>
        <v/>
      </c>
      <c r="J491" s="16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20">
        <f>IF(H492="","",H492-Settings!$B$2)</f>
        <v/>
      </c>
      <c r="J492" s="16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20">
        <f>IF(H493="","",H493-Settings!$B$2)</f>
        <v/>
      </c>
      <c r="J493" s="16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20">
        <f>IF(H494="","",H494-Settings!$B$2)</f>
        <v/>
      </c>
      <c r="J494" s="16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20">
        <f>IF(H495="","",H495-Settings!$B$2)</f>
        <v/>
      </c>
      <c r="J495" s="16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20">
        <f>IF(H496="","",H496-Settings!$B$2)</f>
        <v/>
      </c>
      <c r="J496" s="16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20">
        <f>IF(H497="","",H497-Settings!$B$2)</f>
        <v/>
      </c>
      <c r="J497" s="16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20">
        <f>IF(H498="","",H498-Settings!$B$2)</f>
        <v/>
      </c>
      <c r="J498" s="16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20">
        <f>IF(H499="","",H499-Settings!$B$2)</f>
        <v/>
      </c>
      <c r="J499" s="16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20">
        <f>IF(H500="","",H500-Settings!$B$2)</f>
        <v/>
      </c>
      <c r="J500" s="16" t="n"/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20">
        <f>IF(H501="","",H501-Settings!$B$2)</f>
        <v/>
      </c>
      <c r="J501" s="16" t="n"/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20">
        <f>IF(H502="","",H502-Settings!$B$2)</f>
        <v/>
      </c>
      <c r="J502" s="16" t="n"/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20">
        <f>IF(H503="","",H503-Settings!$B$2)</f>
        <v/>
      </c>
      <c r="J503" s="16" t="n"/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20">
        <f>IF(H504="","",H504-Settings!$B$2)</f>
        <v/>
      </c>
      <c r="J504" s="16" t="n"/>
    </row>
    <row r="50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20">
        <f>IF(H505="","",H505-Settings!$B$2)</f>
        <v/>
      </c>
      <c r="J505" s="16" t="n"/>
    </row>
    <row r="506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20">
        <f>IF(H506="","",H506-Settings!$B$2)</f>
        <v/>
      </c>
      <c r="J506" s="16" t="n"/>
    </row>
    <row r="507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20">
        <f>IF(H507="","",H507-Settings!$B$2)</f>
        <v/>
      </c>
      <c r="J507" s="16" t="n"/>
    </row>
    <row r="508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20">
        <f>IF(H508="","",H508-Settings!$B$2)</f>
        <v/>
      </c>
      <c r="J508" s="16" t="n"/>
    </row>
    <row r="509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20">
        <f>IF(H509="","",H509-Settings!$B$2)</f>
        <v/>
      </c>
      <c r="J509" s="16" t="n"/>
    </row>
    <row r="510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20">
        <f>IF(H510="","",H510-Settings!$B$2)</f>
        <v/>
      </c>
      <c r="J510" s="16" t="n"/>
    </row>
    <row r="51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20">
        <f>IF(H511="","",H511-Settings!$B$2)</f>
        <v/>
      </c>
      <c r="J511" s="16" t="n"/>
    </row>
    <row r="51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20">
        <f>IF(H512="","",H512-Settings!$B$2)</f>
        <v/>
      </c>
      <c r="J512" s="16" t="n"/>
    </row>
    <row r="513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20">
        <f>IF(H513="","",H513-Settings!$B$2)</f>
        <v/>
      </c>
      <c r="J513" s="16" t="n"/>
    </row>
    <row r="51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20">
        <f>IF(H514="","",H514-Settings!$B$2)</f>
        <v/>
      </c>
      <c r="J514" s="16" t="n"/>
    </row>
    <row r="5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20">
        <f>IF(H515="","",H515-Settings!$B$2)</f>
        <v/>
      </c>
      <c r="J515" s="16" t="n"/>
    </row>
    <row r="516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20">
        <f>IF(H516="","",H516-Settings!$B$2)</f>
        <v/>
      </c>
      <c r="J516" s="16" t="n"/>
    </row>
    <row r="517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20">
        <f>IF(H517="","",H517-Settings!$B$2)</f>
        <v/>
      </c>
      <c r="J517" s="16" t="n"/>
    </row>
    <row r="518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20">
        <f>IF(H518="","",H518-Settings!$B$2)</f>
        <v/>
      </c>
      <c r="J518" s="16" t="n"/>
    </row>
    <row r="519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20">
        <f>IF(H519="","",H519-Settings!$B$2)</f>
        <v/>
      </c>
      <c r="J519" s="16" t="n"/>
    </row>
    <row r="520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20">
        <f>IF(H520="","",H520-Settings!$B$2)</f>
        <v/>
      </c>
      <c r="J520" s="16" t="n"/>
    </row>
    <row r="52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20">
        <f>IF(H521="","",H521-Settings!$B$2)</f>
        <v/>
      </c>
      <c r="J521" s="16" t="n"/>
    </row>
    <row r="52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20">
        <f>IF(H522="","",H522-Settings!$B$2)</f>
        <v/>
      </c>
      <c r="J522" s="16" t="n"/>
    </row>
    <row r="523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20">
        <f>IF(H523="","",H523-Settings!$B$2)</f>
        <v/>
      </c>
      <c r="J523" s="16" t="n"/>
    </row>
    <row r="52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20">
        <f>IF(H524="","",H524-Settings!$B$2)</f>
        <v/>
      </c>
      <c r="J524" s="16" t="n"/>
    </row>
    <row r="52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20">
        <f>IF(H525="","",H525-Settings!$B$2)</f>
        <v/>
      </c>
      <c r="J525" s="16" t="n"/>
    </row>
    <row r="526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20">
        <f>IF(H526="","",H526-Settings!$B$2)</f>
        <v/>
      </c>
      <c r="J526" s="16" t="n"/>
    </row>
    <row r="527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20">
        <f>IF(H527="","",H527-Settings!$B$2)</f>
        <v/>
      </c>
      <c r="J527" s="16" t="n"/>
    </row>
    <row r="528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20">
        <f>IF(H528="","",H528-Settings!$B$2)</f>
        <v/>
      </c>
      <c r="J528" s="16" t="n"/>
    </row>
    <row r="529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20">
        <f>IF(H529="","",H529-Settings!$B$2)</f>
        <v/>
      </c>
      <c r="J529" s="16" t="n"/>
    </row>
    <row r="530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20">
        <f>IF(H530="","",H530-Settings!$B$2)</f>
        <v/>
      </c>
      <c r="J530" s="16" t="n"/>
    </row>
    <row r="53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20">
        <f>IF(H531="","",H531-Settings!$B$2)</f>
        <v/>
      </c>
      <c r="J531" s="16" t="n"/>
    </row>
    <row r="53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20">
        <f>IF(H532="","",H532-Settings!$B$2)</f>
        <v/>
      </c>
      <c r="J532" s="16" t="n"/>
    </row>
    <row r="533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20">
        <f>IF(H533="","",H533-Settings!$B$2)</f>
        <v/>
      </c>
      <c r="J533" s="16" t="n"/>
    </row>
    <row r="53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20">
        <f>IF(H534="","",H534-Settings!$B$2)</f>
        <v/>
      </c>
      <c r="J534" s="16" t="n"/>
    </row>
    <row r="53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20">
        <f>IF(H535="","",H535-Settings!$B$2)</f>
        <v/>
      </c>
      <c r="J535" s="16" t="n"/>
    </row>
    <row r="536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20">
        <f>IF(H536="","",H536-Settings!$B$2)</f>
        <v/>
      </c>
      <c r="J536" s="16" t="n"/>
    </row>
    <row r="537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20">
        <f>IF(H537="","",H537-Settings!$B$2)</f>
        <v/>
      </c>
      <c r="J537" s="16" t="n"/>
    </row>
    <row r="538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20">
        <f>IF(H538="","",H538-Settings!$B$2)</f>
        <v/>
      </c>
      <c r="J538" s="16" t="n"/>
    </row>
    <row r="539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20">
        <f>IF(H539="","",H539-Settings!$B$2)</f>
        <v/>
      </c>
      <c r="J539" s="16" t="n"/>
    </row>
    <row r="540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20">
        <f>IF(H540="","",H540-Settings!$B$2)</f>
        <v/>
      </c>
      <c r="J540" s="16" t="n"/>
    </row>
    <row r="54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20">
        <f>IF(H541="","",H541-Settings!$B$2)</f>
        <v/>
      </c>
      <c r="J541" s="16" t="n"/>
    </row>
    <row r="54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20">
        <f>IF(H542="","",H542-Settings!$B$2)</f>
        <v/>
      </c>
      <c r="J542" s="16" t="n"/>
    </row>
    <row r="543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20">
        <f>IF(H543="","",H543-Settings!$B$2)</f>
        <v/>
      </c>
      <c r="J543" s="16" t="n"/>
    </row>
    <row r="5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20">
        <f>IF(H544="","",H544-Settings!$B$2)</f>
        <v/>
      </c>
      <c r="J544" s="16" t="n"/>
    </row>
    <row r="54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20">
        <f>IF(H545="","",H545-Settings!$B$2)</f>
        <v/>
      </c>
      <c r="J545" s="16" t="n"/>
    </row>
    <row r="546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20">
        <f>IF(H546="","",H546-Settings!$B$2)</f>
        <v/>
      </c>
      <c r="J546" s="16" t="n"/>
    </row>
    <row r="547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20">
        <f>IF(H547="","",H547-Settings!$B$2)</f>
        <v/>
      </c>
      <c r="J547" s="16" t="n"/>
    </row>
    <row r="548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20">
        <f>IF(H548="","",H548-Settings!$B$2)</f>
        <v/>
      </c>
      <c r="J548" s="16" t="n"/>
    </row>
    <row r="549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20">
        <f>IF(H549="","",H549-Settings!$B$2)</f>
        <v/>
      </c>
      <c r="J549" s="16" t="n"/>
    </row>
    <row r="550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20">
        <f>IF(H550="","",H550-Settings!$B$2)</f>
        <v/>
      </c>
      <c r="J550" s="16" t="n"/>
    </row>
    <row r="55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20">
        <f>IF(H551="","",H551-Settings!$B$2)</f>
        <v/>
      </c>
      <c r="J551" s="16" t="n"/>
    </row>
    <row r="55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20">
        <f>IF(H552="","",H552-Settings!$B$2)</f>
        <v/>
      </c>
      <c r="J552" s="16" t="n"/>
    </row>
    <row r="553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20">
        <f>IF(H553="","",H553-Settings!$B$2)</f>
        <v/>
      </c>
      <c r="J553" s="16" t="n"/>
    </row>
    <row r="55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20">
        <f>IF(H554="","",H554-Settings!$B$2)</f>
        <v/>
      </c>
      <c r="J554" s="16" t="n"/>
    </row>
    <row r="55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20">
        <f>IF(H555="","",H555-Settings!$B$2)</f>
        <v/>
      </c>
      <c r="J555" s="16" t="n"/>
    </row>
    <row r="556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20">
        <f>IF(H556="","",H556-Settings!$B$2)</f>
        <v/>
      </c>
      <c r="J556" s="16" t="n"/>
    </row>
    <row r="557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20">
        <f>IF(H557="","",H557-Settings!$B$2)</f>
        <v/>
      </c>
      <c r="J557" s="16" t="n"/>
    </row>
    <row r="558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20">
        <f>IF(H558="","",H558-Settings!$B$2)</f>
        <v/>
      </c>
      <c r="J558" s="16" t="n"/>
    </row>
    <row r="559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20">
        <f>IF(H559="","",H559-Settings!$B$2)</f>
        <v/>
      </c>
      <c r="J559" s="16" t="n"/>
    </row>
    <row r="560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20">
        <f>IF(H560="","",H560-Settings!$B$2)</f>
        <v/>
      </c>
      <c r="J560" s="16" t="n"/>
    </row>
    <row r="56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20">
        <f>IF(H561="","",H561-Settings!$B$2)</f>
        <v/>
      </c>
      <c r="J561" s="16" t="n"/>
    </row>
    <row r="56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20">
        <f>IF(H562="","",H562-Settings!$B$2)</f>
        <v/>
      </c>
      <c r="J562" s="16" t="n"/>
    </row>
    <row r="563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20">
        <f>IF(H563="","",H563-Settings!$B$2)</f>
        <v/>
      </c>
      <c r="J563" s="16" t="n"/>
    </row>
    <row r="56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20">
        <f>IF(H564="","",H564-Settings!$B$2)</f>
        <v/>
      </c>
      <c r="J564" s="16" t="n"/>
    </row>
    <row r="56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20">
        <f>IF(H565="","",H565-Settings!$B$2)</f>
        <v/>
      </c>
      <c r="J565" s="16" t="n"/>
    </row>
    <row r="566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20">
        <f>IF(H566="","",H566-Settings!$B$2)</f>
        <v/>
      </c>
      <c r="J566" s="16" t="n"/>
    </row>
    <row r="567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20">
        <f>IF(H567="","",H567-Settings!$B$2)</f>
        <v/>
      </c>
      <c r="J567" s="16" t="n"/>
    </row>
    <row r="568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20">
        <f>IF(H568="","",H568-Settings!$B$2)</f>
        <v/>
      </c>
      <c r="J568" s="16" t="n"/>
    </row>
    <row r="569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20">
        <f>IF(H569="","",H569-Settings!$B$2)</f>
        <v/>
      </c>
      <c r="J569" s="16" t="n"/>
    </row>
    <row r="570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20">
        <f>IF(H570="","",H570-Settings!$B$2)</f>
        <v/>
      </c>
      <c r="J570" s="16" t="n"/>
    </row>
    <row r="57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20">
        <f>IF(H571="","",H571-Settings!$B$2)</f>
        <v/>
      </c>
      <c r="J571" s="16" t="n"/>
    </row>
    <row r="57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20">
        <f>IF(H572="","",H572-Settings!$B$2)</f>
        <v/>
      </c>
      <c r="J572" s="16" t="n"/>
    </row>
    <row r="573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20">
        <f>IF(H573="","",H573-Settings!$B$2)</f>
        <v/>
      </c>
      <c r="J573" s="16" t="n"/>
    </row>
    <row r="57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20">
        <f>IF(H574="","",H574-Settings!$B$2)</f>
        <v/>
      </c>
      <c r="J574" s="16" t="n"/>
    </row>
    <row r="57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20">
        <f>IF(H575="","",H575-Settings!$B$2)</f>
        <v/>
      </c>
      <c r="J575" s="16" t="n"/>
    </row>
    <row r="576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20">
        <f>IF(H576="","",H576-Settings!$B$2)</f>
        <v/>
      </c>
      <c r="J576" s="16" t="n"/>
    </row>
    <row r="577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20">
        <f>IF(H577="","",H577-Settings!$B$2)</f>
        <v/>
      </c>
      <c r="J577" s="16" t="n"/>
    </row>
    <row r="578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20">
        <f>IF(H578="","",H578-Settings!$B$2)</f>
        <v/>
      </c>
      <c r="J578" s="16" t="n"/>
    </row>
    <row r="579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20">
        <f>IF(H579="","",H579-Settings!$B$2)</f>
        <v/>
      </c>
      <c r="J579" s="16" t="n"/>
    </row>
    <row r="580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20">
        <f>IF(H580="","",H580-Settings!$B$2)</f>
        <v/>
      </c>
      <c r="J580" s="16" t="n"/>
    </row>
    <row r="58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20">
        <f>IF(H581="","",H581-Settings!$B$2)</f>
        <v/>
      </c>
      <c r="J581" s="16" t="n"/>
    </row>
    <row r="58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20">
        <f>IF(H582="","",H582-Settings!$B$2)</f>
        <v/>
      </c>
      <c r="J582" s="16" t="n"/>
    </row>
    <row r="583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20">
        <f>IF(H583="","",H583-Settings!$B$2)</f>
        <v/>
      </c>
      <c r="J583" s="16" t="n"/>
    </row>
    <row r="58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20">
        <f>IF(H584="","",H584-Settings!$B$2)</f>
        <v/>
      </c>
      <c r="J584" s="16" t="n"/>
    </row>
    <row r="58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20">
        <f>IF(H585="","",H585-Settings!$B$2)</f>
        <v/>
      </c>
      <c r="J585" s="16" t="n"/>
    </row>
    <row r="586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20">
        <f>IF(H586="","",H586-Settings!$B$2)</f>
        <v/>
      </c>
      <c r="J586" s="16" t="n"/>
    </row>
    <row r="587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20">
        <f>IF(H587="","",H587-Settings!$B$2)</f>
        <v/>
      </c>
      <c r="J587" s="16" t="n"/>
    </row>
    <row r="588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20">
        <f>IF(H588="","",H588-Settings!$B$2)</f>
        <v/>
      </c>
      <c r="J588" s="16" t="n"/>
    </row>
    <row r="589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20">
        <f>IF(H589="","",H589-Settings!$B$2)</f>
        <v/>
      </c>
      <c r="J589" s="16" t="n"/>
    </row>
    <row r="590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20">
        <f>IF(H590="","",H590-Settings!$B$2)</f>
        <v/>
      </c>
      <c r="J590" s="16" t="n"/>
    </row>
    <row r="59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20">
        <f>IF(H591="","",H591-Settings!$B$2)</f>
        <v/>
      </c>
      <c r="J591" s="16" t="n"/>
    </row>
    <row r="5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20">
        <f>IF(H592="","",H592-Settings!$B$2)</f>
        <v/>
      </c>
      <c r="J592" s="16" t="n"/>
    </row>
    <row r="593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20">
        <f>IF(H593="","",H593-Settings!$B$2)</f>
        <v/>
      </c>
      <c r="J593" s="16" t="n"/>
    </row>
    <row r="59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20">
        <f>IF(H594="","",H594-Settings!$B$2)</f>
        <v/>
      </c>
      <c r="J594" s="16" t="n"/>
    </row>
    <row r="59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20">
        <f>IF(H595="","",H595-Settings!$B$2)</f>
        <v/>
      </c>
      <c r="J595" s="16" t="n"/>
    </row>
    <row r="596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20">
        <f>IF(H596="","",H596-Settings!$B$2)</f>
        <v/>
      </c>
      <c r="J596" s="16" t="n"/>
    </row>
    <row r="597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20">
        <f>IF(H597="","",H597-Settings!$B$2)</f>
        <v/>
      </c>
      <c r="J597" s="16" t="n"/>
    </row>
    <row r="598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20">
        <f>IF(H598="","",H598-Settings!$B$2)</f>
        <v/>
      </c>
      <c r="J598" s="16" t="n"/>
    </row>
    <row r="599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20">
        <f>IF(H599="","",H599-Settings!$B$2)</f>
        <v/>
      </c>
      <c r="J599" s="16" t="n"/>
    </row>
    <row r="600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20">
        <f>IF(H600="","",H600-Settings!$B$2)</f>
        <v/>
      </c>
      <c r="J600" s="16" t="n"/>
    </row>
    <row r="60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20">
        <f>IF(H601="","",H601-Settings!$B$2)</f>
        <v/>
      </c>
      <c r="J601" s="16" t="n"/>
    </row>
  </sheetData>
  <autoFilter ref="A1:J601"/>
  <conditionalFormatting sqref="I2:I601">
    <cfRule type="cellIs" priority="1" operator="lessThan" dxfId="0">
      <formula>0</formula>
    </cfRule>
  </conditionalFormatting>
  <conditionalFormatting sqref="F2:F601">
    <cfRule type="cellIs" priority="2" operator="equal" dxfId="1">
      <formula>"Master"</formula>
    </cfRule>
  </conditionalFormatting>
  <dataValidations count="2">
    <dataValidation sqref="B2:B601" showDropDown="0" showInputMessage="0" showErrorMessage="0" allowBlank="1" type="list">
      <formula1>=Lists!$A$1:$A$4</formula1>
    </dataValidation>
    <dataValidation sqref="F2:F601" showDropDown="0" showInputMessage="0" showErrorMessage="0" allowBlank="1" type="list">
      <formula1>=Lists!$B$1:$B$6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46" customWidth="1" min="4" max="4"/>
    <col width="46" customWidth="1" min="5" max="5"/>
    <col width="20" customWidth="1" min="6" max="6"/>
    <col width="12" customWidth="1" min="7" max="7"/>
    <col width="14" customWidth="1" min="8" max="8"/>
    <col width="12" customWidth="1" min="9" max="9"/>
  </cols>
  <sheetData>
    <row r="1">
      <c r="A1" s="11" t="inlineStr">
        <is>
          <t>Ref</t>
        </is>
      </c>
      <c r="B1" s="11" t="inlineStr">
        <is>
          <t>Raised</t>
        </is>
      </c>
      <c r="C1" s="11" t="inlineStr">
        <is>
          <t>Obj ID</t>
        </is>
      </c>
      <c r="D1" s="11" t="inlineStr">
        <is>
          <t>What is being deviated from</t>
        </is>
      </c>
      <c r="E1" s="11" t="inlineStr">
        <is>
          <t>Reason</t>
        </is>
      </c>
      <c r="F1" s="11" t="inlineStr">
        <is>
          <t>Approved by</t>
        </is>
      </c>
      <c r="G1" s="11" t="inlineStr">
        <is>
          <t>Expiry</t>
        </is>
      </c>
      <c r="H1" s="11" t="inlineStr">
        <is>
          <t>Days to expiry</t>
        </is>
      </c>
      <c r="I1" s="11" t="inlineStr">
        <is>
          <t>Status</t>
        </is>
      </c>
    </row>
    <row r="2">
      <c r="A2" s="12" t="inlineStr">
        <is>
          <t>EXC-08</t>
        </is>
      </c>
      <c r="B2" s="13" t="n">
        <v>45944</v>
      </c>
      <c r="C2" s="12" t="inlineStr">
        <is>
          <t>OBJ-01</t>
        </is>
      </c>
      <c r="D2" s="12" t="inlineStr">
        <is>
          <t>One system of record - read-only customer copy in the reporting store</t>
        </is>
      </c>
      <c r="E2" s="12" t="inlineStr">
        <is>
          <t>Month-end close latency</t>
        </is>
      </c>
      <c r="F2" s="12" t="inlineStr">
        <is>
          <t>Data architect</t>
        </is>
      </c>
      <c r="G2" s="13" t="n">
        <v>46309</v>
      </c>
      <c r="H2" s="12">
        <f>IF(G2="","",G2-Settings!$B$2)</f>
        <v/>
      </c>
      <c r="I2" s="12" t="inlineStr">
        <is>
          <t>Open</t>
        </is>
      </c>
    </row>
    <row r="3">
      <c r="A3" s="12" t="inlineStr">
        <is>
          <t>EXC-09</t>
        </is>
      </c>
      <c r="B3" s="13" t="n">
        <v>46042</v>
      </c>
      <c r="C3" s="12" t="inlineStr">
        <is>
          <t>OBJ-04</t>
        </is>
      </c>
      <c r="D3" s="12" t="inlineStr">
        <is>
          <t>Market D keeps a local supplier register as a reference copy</t>
        </is>
      </c>
      <c r="E3" s="12" t="inlineStr">
        <is>
          <t>Regulator approved the local tool; partner contract runs to 2026</t>
        </is>
      </c>
      <c r="F3" s="12" t="inlineStr">
        <is>
          <t>Architecture board</t>
        </is>
      </c>
      <c r="G3" s="13" t="n">
        <v>46387</v>
      </c>
      <c r="H3" s="12">
        <f>IF(G3="","",G3-Settings!$B$2)</f>
        <v/>
      </c>
      <c r="I3" s="12" t="inlineStr">
        <is>
          <t>Open</t>
        </is>
      </c>
    </row>
    <row r="4">
      <c r="A4" s="12" t="inlineStr">
        <is>
          <t>EXC-10</t>
        </is>
      </c>
      <c r="B4" s="13" t="n">
        <v>46084</v>
      </c>
      <c r="C4" s="12" t="inlineStr">
        <is>
          <t>OBJ-06</t>
        </is>
      </c>
      <c r="D4" s="12" t="inlineStr">
        <is>
          <t>Contract data replicated to market F in-country store</t>
        </is>
      </c>
      <c r="E4" s="12" t="inlineStr">
        <is>
          <t>Residency requirement, statutory</t>
        </is>
      </c>
      <c r="F4" s="12" t="inlineStr">
        <is>
          <t>Compliance lead</t>
        </is>
      </c>
      <c r="G4" s="12" t="n"/>
      <c r="H4" s="12">
        <f>IF(G4="","",G4-Settings!$B$2)</f>
        <v/>
      </c>
      <c r="I4" s="12" t="inlineStr">
        <is>
          <t>Open</t>
        </is>
      </c>
    </row>
    <row r="5">
      <c r="A5" s="12" t="inlineStr">
        <is>
          <t>EXC-11</t>
        </is>
      </c>
      <c r="B5" s="13" t="n">
        <v>46182</v>
      </c>
      <c r="C5" s="12" t="inlineStr">
        <is>
          <t>OBJ-07</t>
        </is>
      </c>
      <c r="D5" s="12" t="inlineStr">
        <is>
          <t>Dual-write window during the pricing mastership move</t>
        </is>
      </c>
      <c r="E5" s="12" t="inlineStr">
        <is>
          <t>Cutover requires both systems writing for eight weeks</t>
        </is>
      </c>
      <c r="F5" s="12" t="inlineStr">
        <is>
          <t>Architecture board</t>
        </is>
      </c>
      <c r="G5" s="13" t="n">
        <v>46380</v>
      </c>
      <c r="H5" s="12">
        <f>IF(G5="","",G5-Settings!$B$2)</f>
        <v/>
      </c>
      <c r="I5" s="12" t="inlineStr">
        <is>
          <t>Open</t>
        </is>
      </c>
    </row>
    <row r="6">
      <c r="A6" s="12" t="inlineStr">
        <is>
          <t>EXC-12</t>
        </is>
      </c>
      <c r="B6" s="13" t="n">
        <v>45874</v>
      </c>
      <c r="C6" s="12" t="inlineStr">
        <is>
          <t>OBJ-10</t>
        </is>
      </c>
      <c r="D6" s="12" t="inlineStr">
        <is>
          <t>Promotion mastered in the promotion tool rather than the core</t>
        </is>
      </c>
      <c r="E6" s="12" t="inlineStr">
        <is>
          <t>Tool predates the programme; migration in wave three</t>
        </is>
      </c>
      <c r="F6" s="12" t="inlineStr">
        <is>
          <t>Architecture board</t>
        </is>
      </c>
      <c r="G6" s="13" t="n">
        <v>46142</v>
      </c>
      <c r="H6" s="12">
        <f>IF(G6="","",G6-Settings!$B$2)</f>
        <v/>
      </c>
      <c r="I6" s="12" t="inlineStr">
        <is>
          <t>Open</t>
        </is>
      </c>
    </row>
    <row r="7">
      <c r="A7" s="16" t="n"/>
      <c r="B7" s="16" t="n"/>
      <c r="C7" s="16" t="n"/>
      <c r="D7" s="16" t="n"/>
      <c r="E7" s="16" t="n"/>
      <c r="F7" s="16" t="n"/>
      <c r="G7" s="16" t="n"/>
      <c r="H7" s="20">
        <f>IF(G7="","",G7-Settings!$B$2)</f>
        <v/>
      </c>
      <c r="I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20">
        <f>IF(G8="","",G8-Settings!$B$2)</f>
        <v/>
      </c>
      <c r="I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20">
        <f>IF(G9="","",G9-Settings!$B$2)</f>
        <v/>
      </c>
      <c r="I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20">
        <f>IF(G10="","",G10-Settings!$B$2)</f>
        <v/>
      </c>
      <c r="I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20">
        <f>IF(G11="","",G11-Settings!$B$2)</f>
        <v/>
      </c>
      <c r="I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20">
        <f>IF(G12="","",G12-Settings!$B$2)</f>
        <v/>
      </c>
      <c r="I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20">
        <f>IF(G13="","",G13-Settings!$B$2)</f>
        <v/>
      </c>
      <c r="I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20">
        <f>IF(G14="","",G14-Settings!$B$2)</f>
        <v/>
      </c>
      <c r="I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20">
        <f>IF(G15="","",G15-Settings!$B$2)</f>
        <v/>
      </c>
      <c r="I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20">
        <f>IF(G16="","",G16-Settings!$B$2)</f>
        <v/>
      </c>
      <c r="I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20">
        <f>IF(G17="","",G17-Settings!$B$2)</f>
        <v/>
      </c>
      <c r="I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20">
        <f>IF(G18="","",G18-Settings!$B$2)</f>
        <v/>
      </c>
      <c r="I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20">
        <f>IF(G19="","",G19-Settings!$B$2)</f>
        <v/>
      </c>
      <c r="I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20">
        <f>IF(G20="","",G20-Settings!$B$2)</f>
        <v/>
      </c>
      <c r="I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20">
        <f>IF(G21="","",G21-Settings!$B$2)</f>
        <v/>
      </c>
      <c r="I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20">
        <f>IF(G22="","",G22-Settings!$B$2)</f>
        <v/>
      </c>
      <c r="I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20">
        <f>IF(G23="","",G23-Settings!$B$2)</f>
        <v/>
      </c>
      <c r="I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20">
        <f>IF(G24="","",G24-Settings!$B$2)</f>
        <v/>
      </c>
      <c r="I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20">
        <f>IF(G25="","",G25-Settings!$B$2)</f>
        <v/>
      </c>
      <c r="I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20">
        <f>IF(G26="","",G26-Settings!$B$2)</f>
        <v/>
      </c>
      <c r="I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20">
        <f>IF(G27="","",G27-Settings!$B$2)</f>
        <v/>
      </c>
      <c r="I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20">
        <f>IF(G28="","",G28-Settings!$B$2)</f>
        <v/>
      </c>
      <c r="I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20">
        <f>IF(G29="","",G29-Settings!$B$2)</f>
        <v/>
      </c>
      <c r="I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20">
        <f>IF(G30="","",G30-Settings!$B$2)</f>
        <v/>
      </c>
      <c r="I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20">
        <f>IF(G31="","",G31-Settings!$B$2)</f>
        <v/>
      </c>
      <c r="I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20">
        <f>IF(G32="","",G32-Settings!$B$2)</f>
        <v/>
      </c>
      <c r="I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20">
        <f>IF(G33="","",G33-Settings!$B$2)</f>
        <v/>
      </c>
      <c r="I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20">
        <f>IF(G34="","",G34-Settings!$B$2)</f>
        <v/>
      </c>
      <c r="I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20">
        <f>IF(G35="","",G35-Settings!$B$2)</f>
        <v/>
      </c>
      <c r="I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20">
        <f>IF(G36="","",G36-Settings!$B$2)</f>
        <v/>
      </c>
      <c r="I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20">
        <f>IF(G37="","",G37-Settings!$B$2)</f>
        <v/>
      </c>
      <c r="I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20">
        <f>IF(G38="","",G38-Settings!$B$2)</f>
        <v/>
      </c>
      <c r="I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20">
        <f>IF(G39="","",G39-Settings!$B$2)</f>
        <v/>
      </c>
      <c r="I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20">
        <f>IF(G40="","",G40-Settings!$B$2)</f>
        <v/>
      </c>
      <c r="I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20">
        <f>IF(G41="","",G41-Settings!$B$2)</f>
        <v/>
      </c>
      <c r="I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20">
        <f>IF(G42="","",G42-Settings!$B$2)</f>
        <v/>
      </c>
      <c r="I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20">
        <f>IF(G43="","",G43-Settings!$B$2)</f>
        <v/>
      </c>
      <c r="I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20">
        <f>IF(G44="","",G44-Settings!$B$2)</f>
        <v/>
      </c>
      <c r="I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20">
        <f>IF(G45="","",G45-Settings!$B$2)</f>
        <v/>
      </c>
      <c r="I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20">
        <f>IF(G46="","",G46-Settings!$B$2)</f>
        <v/>
      </c>
      <c r="I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20">
        <f>IF(G47="","",G47-Settings!$B$2)</f>
        <v/>
      </c>
      <c r="I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20">
        <f>IF(G48="","",G48-Settings!$B$2)</f>
        <v/>
      </c>
      <c r="I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20">
        <f>IF(G49="","",G49-Settings!$B$2)</f>
        <v/>
      </c>
      <c r="I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20">
        <f>IF(G50="","",G50-Settings!$B$2)</f>
        <v/>
      </c>
      <c r="I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20">
        <f>IF(G51="","",G51-Settings!$B$2)</f>
        <v/>
      </c>
      <c r="I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20">
        <f>IF(G52="","",G52-Settings!$B$2)</f>
        <v/>
      </c>
      <c r="I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20">
        <f>IF(G53="","",G53-Settings!$B$2)</f>
        <v/>
      </c>
      <c r="I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20">
        <f>IF(G54="","",G54-Settings!$B$2)</f>
        <v/>
      </c>
      <c r="I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20">
        <f>IF(G55="","",G55-Settings!$B$2)</f>
        <v/>
      </c>
      <c r="I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20">
        <f>IF(G56="","",G56-Settings!$B$2)</f>
        <v/>
      </c>
      <c r="I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20">
        <f>IF(G57="","",G57-Settings!$B$2)</f>
        <v/>
      </c>
      <c r="I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20">
        <f>IF(G58="","",G58-Settings!$B$2)</f>
        <v/>
      </c>
      <c r="I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20">
        <f>IF(G59="","",G59-Settings!$B$2)</f>
        <v/>
      </c>
      <c r="I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20">
        <f>IF(G60="","",G60-Settings!$B$2)</f>
        <v/>
      </c>
      <c r="I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20">
        <f>IF(G61="","",G61-Settings!$B$2)</f>
        <v/>
      </c>
      <c r="I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20">
        <f>IF(G62="","",G62-Settings!$B$2)</f>
        <v/>
      </c>
      <c r="I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20">
        <f>IF(G63="","",G63-Settings!$B$2)</f>
        <v/>
      </c>
      <c r="I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20">
        <f>IF(G64="","",G64-Settings!$B$2)</f>
        <v/>
      </c>
      <c r="I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20">
        <f>IF(G65="","",G65-Settings!$B$2)</f>
        <v/>
      </c>
      <c r="I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20">
        <f>IF(G66="","",G66-Settings!$B$2)</f>
        <v/>
      </c>
      <c r="I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20">
        <f>IF(G67="","",G67-Settings!$B$2)</f>
        <v/>
      </c>
      <c r="I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20">
        <f>IF(G68="","",G68-Settings!$B$2)</f>
        <v/>
      </c>
      <c r="I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20">
        <f>IF(G69="","",G69-Settings!$B$2)</f>
        <v/>
      </c>
      <c r="I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20">
        <f>IF(G70="","",G70-Settings!$B$2)</f>
        <v/>
      </c>
      <c r="I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20">
        <f>IF(G71="","",G71-Settings!$B$2)</f>
        <v/>
      </c>
      <c r="I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20">
        <f>IF(G72="","",G72-Settings!$B$2)</f>
        <v/>
      </c>
      <c r="I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20">
        <f>IF(G73="","",G73-Settings!$B$2)</f>
        <v/>
      </c>
      <c r="I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20">
        <f>IF(G74="","",G74-Settings!$B$2)</f>
        <v/>
      </c>
      <c r="I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20">
        <f>IF(G75="","",G75-Settings!$B$2)</f>
        <v/>
      </c>
      <c r="I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20">
        <f>IF(G76="","",G76-Settings!$B$2)</f>
        <v/>
      </c>
      <c r="I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20">
        <f>IF(G77="","",G77-Settings!$B$2)</f>
        <v/>
      </c>
      <c r="I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20">
        <f>IF(G78="","",G78-Settings!$B$2)</f>
        <v/>
      </c>
      <c r="I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20">
        <f>IF(G79="","",G79-Settings!$B$2)</f>
        <v/>
      </c>
      <c r="I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20">
        <f>IF(G80="","",G80-Settings!$B$2)</f>
        <v/>
      </c>
      <c r="I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20">
        <f>IF(G81="","",G81-Settings!$B$2)</f>
        <v/>
      </c>
      <c r="I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20">
        <f>IF(G82="","",G82-Settings!$B$2)</f>
        <v/>
      </c>
      <c r="I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20">
        <f>IF(G83="","",G83-Settings!$B$2)</f>
        <v/>
      </c>
      <c r="I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20">
        <f>IF(G84="","",G84-Settings!$B$2)</f>
        <v/>
      </c>
      <c r="I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20">
        <f>IF(G85="","",G85-Settings!$B$2)</f>
        <v/>
      </c>
      <c r="I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20">
        <f>IF(G86="","",G86-Settings!$B$2)</f>
        <v/>
      </c>
      <c r="I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20">
        <f>IF(G87="","",G87-Settings!$B$2)</f>
        <v/>
      </c>
      <c r="I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20">
        <f>IF(G88="","",G88-Settings!$B$2)</f>
        <v/>
      </c>
      <c r="I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20">
        <f>IF(G89="","",G89-Settings!$B$2)</f>
        <v/>
      </c>
      <c r="I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20">
        <f>IF(G90="","",G90-Settings!$B$2)</f>
        <v/>
      </c>
      <c r="I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20">
        <f>IF(G91="","",G91-Settings!$B$2)</f>
        <v/>
      </c>
      <c r="I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20">
        <f>IF(G92="","",G92-Settings!$B$2)</f>
        <v/>
      </c>
      <c r="I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20">
        <f>IF(G93="","",G93-Settings!$B$2)</f>
        <v/>
      </c>
      <c r="I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20">
        <f>IF(G94="","",G94-Settings!$B$2)</f>
        <v/>
      </c>
      <c r="I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20">
        <f>IF(G95="","",G95-Settings!$B$2)</f>
        <v/>
      </c>
      <c r="I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20">
        <f>IF(G96="","",G96-Settings!$B$2)</f>
        <v/>
      </c>
      <c r="I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20">
        <f>IF(G97="","",G97-Settings!$B$2)</f>
        <v/>
      </c>
      <c r="I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20">
        <f>IF(G98="","",G98-Settings!$B$2)</f>
        <v/>
      </c>
      <c r="I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20">
        <f>IF(G99="","",G99-Settings!$B$2)</f>
        <v/>
      </c>
      <c r="I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20">
        <f>IF(G100="","",G100-Settings!$B$2)</f>
        <v/>
      </c>
      <c r="I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20">
        <f>IF(G101="","",G101-Settings!$B$2)</f>
        <v/>
      </c>
      <c r="I101" s="16" t="n"/>
    </row>
    <row r="103">
      <c r="A103" s="8" t="inlineStr">
        <is>
          <t>A dual-write window without a written expiry is how three weeks becomes two years. EXC-11 exists for exactly that reason.</t>
        </is>
      </c>
    </row>
  </sheetData>
  <conditionalFormatting sqref="H2:H101">
    <cfRule type="cellIs" priority="1" operator="lessThan" dxfId="0">
      <formula>0</formula>
    </cfRule>
  </conditionalFormatting>
  <dataValidations count="1">
    <dataValidation sqref="I2:I101" showDropDown="0" showInputMessage="0" showErrorMessage="0" allowBlank="1" type="list">
      <formula1>=Lists!$F$1:$F$4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62" customWidth="1" min="4" max="4"/>
    <col width="20" customWidth="1" min="5" max="5"/>
  </cols>
  <sheetData>
    <row r="1">
      <c r="A1" s="21" t="inlineStr">
        <is>
          <t>Derived views</t>
        </is>
      </c>
    </row>
    <row r="2">
      <c r="A2" s="8" t="inlineStr">
        <is>
          <t>Nothing here is typed. Everything computes from Objects, Attributes and Links.</t>
        </is>
      </c>
    </row>
    <row r="4">
      <c r="A4" s="22" t="inlineStr">
        <is>
          <t>The three report lines</t>
        </is>
      </c>
    </row>
    <row r="5">
      <c r="A5" s="6" t="inlineStr">
        <is>
          <t>Domain objects</t>
        </is>
      </c>
      <c r="B5" s="23">
        <f>COUNTA(Objects!$A$2:$A$61)</f>
        <v/>
      </c>
      <c r="D5" s="8" t="inlineStr">
        <is>
          <t>Twenty to forty at group level</t>
        </is>
      </c>
    </row>
    <row r="6">
      <c r="A6" s="6" t="inlineStr">
        <is>
          <t>Objects with a single confirmed master</t>
        </is>
      </c>
      <c r="B6" s="23">
        <f>COUNTIF(C13:C24,"=1")</f>
        <v/>
      </c>
      <c r="D6" s="8" t="inlineStr">
        <is>
          <t>Exactly one master link. Contradictions and gaps are excluded</t>
        </is>
      </c>
    </row>
    <row r="7">
      <c r="A7" s="6" t="inlineStr">
        <is>
          <t>Objects attested this quarter</t>
        </is>
      </c>
      <c r="B7" s="23">
        <f>COUNTIFS(Objects!$A$2:$A$61,"&lt;&gt;",Objects!$P$2:$P$61,"ok")</f>
        <v/>
      </c>
      <c r="D7" s="8" t="inlineStr">
        <is>
          <t>The leading indicator for the whole model</t>
        </is>
      </c>
    </row>
    <row r="8">
      <c r="A8" s="6" t="inlineStr">
        <is>
          <t>Oldest attestation (days)</t>
        </is>
      </c>
      <c r="B8" s="23">
        <f>IFERROR(MAX(Objects!$O$2:$O$61),"")</f>
        <v/>
      </c>
      <c r="D8" s="8" t="inlineStr">
        <is>
          <t>An object unattested for fourteen months has an owner who stopped reading</t>
        </is>
      </c>
    </row>
    <row r="10">
      <c r="A10" s="22" t="inlineStr">
        <is>
          <t>The contradiction report - objects with more than one master</t>
        </is>
      </c>
    </row>
    <row r="11">
      <c r="A11" s="8" t="inlineStr">
        <is>
          <t>A live incident waiting to happen. This is the single most valuable query in the file.</t>
        </is>
      </c>
    </row>
    <row r="12">
      <c r="A12" s="5" t="inlineStr">
        <is>
          <t>Obj ID</t>
        </is>
      </c>
      <c r="B12" s="5" t="inlineStr">
        <is>
          <t>Name</t>
        </is>
      </c>
      <c r="C12" s="5" t="inlineStr">
        <is>
          <t>Masters</t>
        </is>
      </c>
      <c r="D12" s="5" t="inlineStr">
        <is>
          <t>Verdict</t>
        </is>
      </c>
    </row>
    <row r="13">
      <c r="A13" s="20">
        <f>IF(Objects!A2="","",Objects!A2)</f>
        <v/>
      </c>
      <c r="B13" s="20">
        <f>IF(A13="","",Objects!B2)</f>
        <v/>
      </c>
      <c r="C13" s="20">
        <f>IF(A13="","",COUNTIFS(Links!$C$2:$C$601,A13,Links!$F$2:$F$601,"Master"))</f>
        <v/>
      </c>
      <c r="D13" s="24">
        <f>IF(A13="","",IF(C13&gt;1,"TWO MASTERS - resolve or register an exception",IF(C13=0,"no master recorded","ok")))</f>
        <v/>
      </c>
    </row>
    <row r="14">
      <c r="A14" s="20">
        <f>IF(Objects!A3="","",Objects!A3)</f>
        <v/>
      </c>
      <c r="B14" s="20">
        <f>IF(A14="","",Objects!B3)</f>
        <v/>
      </c>
      <c r="C14" s="20">
        <f>IF(A14="","",COUNTIFS(Links!$C$2:$C$601,A14,Links!$F$2:$F$601,"Master"))</f>
        <v/>
      </c>
      <c r="D14" s="24">
        <f>IF(A14="","",IF(C14&gt;1,"TWO MASTERS - resolve or register an exception",IF(C14=0,"no master recorded","ok")))</f>
        <v/>
      </c>
    </row>
    <row r="15">
      <c r="A15" s="20">
        <f>IF(Objects!A4="","",Objects!A4)</f>
        <v/>
      </c>
      <c r="B15" s="20">
        <f>IF(A15="","",Objects!B4)</f>
        <v/>
      </c>
      <c r="C15" s="20">
        <f>IF(A15="","",COUNTIFS(Links!$C$2:$C$601,A15,Links!$F$2:$F$601,"Master"))</f>
        <v/>
      </c>
      <c r="D15" s="24">
        <f>IF(A15="","",IF(C15&gt;1,"TWO MASTERS - resolve or register an exception",IF(C15=0,"no master recorded","ok")))</f>
        <v/>
      </c>
    </row>
    <row r="16">
      <c r="A16" s="20">
        <f>IF(Objects!A5="","",Objects!A5)</f>
        <v/>
      </c>
      <c r="B16" s="20">
        <f>IF(A16="","",Objects!B5)</f>
        <v/>
      </c>
      <c r="C16" s="20">
        <f>IF(A16="","",COUNTIFS(Links!$C$2:$C$601,A16,Links!$F$2:$F$601,"Master"))</f>
        <v/>
      </c>
      <c r="D16" s="24">
        <f>IF(A16="","",IF(C16&gt;1,"TWO MASTERS - resolve or register an exception",IF(C16=0,"no master recorded","ok")))</f>
        <v/>
      </c>
    </row>
    <row r="17">
      <c r="A17" s="20">
        <f>IF(Objects!A6="","",Objects!A6)</f>
        <v/>
      </c>
      <c r="B17" s="20">
        <f>IF(A17="","",Objects!B6)</f>
        <v/>
      </c>
      <c r="C17" s="20">
        <f>IF(A17="","",COUNTIFS(Links!$C$2:$C$601,A17,Links!$F$2:$F$601,"Master"))</f>
        <v/>
      </c>
      <c r="D17" s="24">
        <f>IF(A17="","",IF(C17&gt;1,"TWO MASTERS - resolve or register an exception",IF(C17=0,"no master recorded","ok")))</f>
        <v/>
      </c>
    </row>
    <row r="18">
      <c r="A18" s="20">
        <f>IF(Objects!A7="","",Objects!A7)</f>
        <v/>
      </c>
      <c r="B18" s="20">
        <f>IF(A18="","",Objects!B7)</f>
        <v/>
      </c>
      <c r="C18" s="20">
        <f>IF(A18="","",COUNTIFS(Links!$C$2:$C$601,A18,Links!$F$2:$F$601,"Master"))</f>
        <v/>
      </c>
      <c r="D18" s="24">
        <f>IF(A18="","",IF(C18&gt;1,"TWO MASTERS - resolve or register an exception",IF(C18=0,"no master recorded","ok")))</f>
        <v/>
      </c>
    </row>
    <row r="19">
      <c r="A19" s="20">
        <f>IF(Objects!A8="","",Objects!A8)</f>
        <v/>
      </c>
      <c r="B19" s="20">
        <f>IF(A19="","",Objects!B8)</f>
        <v/>
      </c>
      <c r="C19" s="20">
        <f>IF(A19="","",COUNTIFS(Links!$C$2:$C$601,A19,Links!$F$2:$F$601,"Master"))</f>
        <v/>
      </c>
      <c r="D19" s="24">
        <f>IF(A19="","",IF(C19&gt;1,"TWO MASTERS - resolve or register an exception",IF(C19=0,"no master recorded","ok")))</f>
        <v/>
      </c>
    </row>
    <row r="20">
      <c r="A20" s="20">
        <f>IF(Objects!A9="","",Objects!A9)</f>
        <v/>
      </c>
      <c r="B20" s="20">
        <f>IF(A20="","",Objects!B9)</f>
        <v/>
      </c>
      <c r="C20" s="20">
        <f>IF(A20="","",COUNTIFS(Links!$C$2:$C$601,A20,Links!$F$2:$F$601,"Master"))</f>
        <v/>
      </c>
      <c r="D20" s="24">
        <f>IF(A20="","",IF(C20&gt;1,"TWO MASTERS - resolve or register an exception",IF(C20=0,"no master recorded","ok")))</f>
        <v/>
      </c>
    </row>
    <row r="21">
      <c r="A21" s="20">
        <f>IF(Objects!A10="","",Objects!A10)</f>
        <v/>
      </c>
      <c r="B21" s="20">
        <f>IF(A21="","",Objects!B10)</f>
        <v/>
      </c>
      <c r="C21" s="20">
        <f>IF(A21="","",COUNTIFS(Links!$C$2:$C$601,A21,Links!$F$2:$F$601,"Master"))</f>
        <v/>
      </c>
      <c r="D21" s="24">
        <f>IF(A21="","",IF(C21&gt;1,"TWO MASTERS - resolve or register an exception",IF(C21=0,"no master recorded","ok")))</f>
        <v/>
      </c>
    </row>
    <row r="22">
      <c r="A22" s="20">
        <f>IF(Objects!A11="","",Objects!A11)</f>
        <v/>
      </c>
      <c r="B22" s="20">
        <f>IF(A22="","",Objects!B11)</f>
        <v/>
      </c>
      <c r="C22" s="20">
        <f>IF(A22="","",COUNTIFS(Links!$C$2:$C$601,A22,Links!$F$2:$F$601,"Master"))</f>
        <v/>
      </c>
      <c r="D22" s="24">
        <f>IF(A22="","",IF(C22&gt;1,"TWO MASTERS - resolve or register an exception",IF(C22=0,"no master recorded","ok")))</f>
        <v/>
      </c>
    </row>
    <row r="23">
      <c r="A23" s="20">
        <f>IF(Objects!A12="","",Objects!A12)</f>
        <v/>
      </c>
      <c r="B23" s="20">
        <f>IF(A23="","",Objects!B12)</f>
        <v/>
      </c>
      <c r="C23" s="20">
        <f>IF(A23="","",COUNTIFS(Links!$C$2:$C$601,A23,Links!$F$2:$F$601,"Master"))</f>
        <v/>
      </c>
      <c r="D23" s="24">
        <f>IF(A23="","",IF(C23&gt;1,"TWO MASTERS - resolve or register an exception",IF(C23=0,"no master recorded","ok")))</f>
        <v/>
      </c>
    </row>
    <row r="24">
      <c r="A24" s="20">
        <f>IF(Objects!A13="","",Objects!A13)</f>
        <v/>
      </c>
      <c r="B24" s="20">
        <f>IF(A24="","",Objects!B13)</f>
        <v/>
      </c>
      <c r="C24" s="20">
        <f>IF(A24="","",COUNTIFS(Links!$C$2:$C$601,A24,Links!$F$2:$F$601,"Master"))</f>
        <v/>
      </c>
      <c r="D24" s="24">
        <f>IF(A24="","",IF(C24&gt;1,"TWO MASTERS - resolve or register an exception",IF(C24=0,"no master recorded","ok")))</f>
        <v/>
      </c>
    </row>
    <row r="27">
      <c r="A27" s="22" t="inlineStr">
        <is>
          <t>Residency answer - where does an object physically sit</t>
        </is>
      </c>
    </row>
    <row r="28">
      <c r="A28" s="8" t="inlineStr">
        <is>
          <t>Type an object ID in the yellow cell. The count comes from the object-to-IT-component join; filter the Links sheet for the detail.</t>
        </is>
      </c>
    </row>
    <row r="29">
      <c r="A29" s="6" t="inlineStr">
        <is>
          <t>Object ID</t>
        </is>
      </c>
      <c r="B29" s="25" t="inlineStr">
        <is>
          <t>OBJ-04</t>
        </is>
      </c>
    </row>
    <row r="30">
      <c r="A30" s="6" t="inlineStr">
        <is>
          <t>IT components holding it</t>
        </is>
      </c>
      <c r="B30" s="20">
        <f>COUNTIFS(Links!$C$2:$C$601,$B$29,Links!$B$2:$B$601,"Object to IT component")</f>
        <v/>
      </c>
      <c r="D30" s="8" t="inlineStr">
        <is>
          <t>This row is the difference between a four-day answer and a six-week investigation</t>
        </is>
      </c>
    </row>
    <row r="31">
      <c r="A31" s="6" t="inlineStr">
        <is>
          <t>Applications touching it</t>
        </is>
      </c>
      <c r="B31" s="20">
        <f>COUNTIFS(Links!$C$2:$C$601,$B$29,Links!$B$2:$B$601,"Object to application")</f>
        <v/>
      </c>
    </row>
    <row r="32">
      <c r="A32" s="6" t="inlineStr">
        <is>
          <t>Interfaces carrying it</t>
        </is>
      </c>
      <c r="B32" s="20">
        <f>COUNTIFS(Links!$C$2:$C$601,$B$29,Links!$B$2:$B$601,"Object to interface")</f>
        <v/>
      </c>
    </row>
    <row r="33">
      <c r="A33" s="6" t="inlineStr">
        <is>
          <t>Reference copies with an expiry</t>
        </is>
      </c>
      <c r="B33" s="20">
        <f>COUNTIFS(Links!$C$2:$C$601,$B$29,Links!$F$2:$F$601,"Reference")</f>
        <v/>
      </c>
    </row>
    <row r="34">
      <c r="A34" s="6" t="inlineStr">
        <is>
          <t>Open exceptions</t>
        </is>
      </c>
      <c r="B34" s="20">
        <f>COUNTIFS(Exceptions!$C$2:$C$101,$B$29,Exceptions!$I$2:$I$101,"Open")</f>
        <v/>
      </c>
    </row>
    <row r="35">
      <c r="A35" s="6" t="inlineStr">
        <is>
          <t>Jurisdiction-scoped attributes</t>
        </is>
      </c>
      <c r="B35" s="20">
        <f>COUNTIFS(Attributes!$A$2:$A$401,$B$29,Attributes!$C$2:$C$401,"Jurisdiction-scoped")</f>
        <v/>
      </c>
      <c r="D35" s="8" t="inlineStr">
        <is>
          <t>Also the localization backlog, and the honest answer to how much of a programme is legal requirement</t>
        </is>
      </c>
    </row>
    <row r="38">
      <c r="A38" s="22" t="inlineStr">
        <is>
          <t>Hygiene checks</t>
        </is>
      </c>
    </row>
    <row r="39">
      <c r="A39" s="6" t="inlineStr">
        <is>
          <t>Objects over the count ceiling</t>
        </is>
      </c>
      <c r="B39" s="20">
        <f>MAX(0,COUNTA(Objects!$A$2:$A$61)-Settings!$B$4)</f>
        <v/>
      </c>
      <c r="D39" s="8" t="inlineStr">
        <is>
          <t>Argue about it rather than silently exceeding it</t>
        </is>
      </c>
    </row>
    <row r="40">
      <c r="A40" s="6" t="inlineStr">
        <is>
          <t>Objects with no master recorded</t>
        </is>
      </c>
      <c r="B40" s="20">
        <f>COUNTIFS(Objects!$A$2:$A$61,"&lt;&gt;",Objects!$I$2:$I$61,"")</f>
        <v/>
      </c>
      <c r="D40" s="8" t="inlineStr">
        <is>
          <t>The most useful gap in the file</t>
        </is>
      </c>
    </row>
    <row r="41">
      <c r="A41" s="6" t="inlineStr">
        <is>
          <t>Objects with no owning capability</t>
        </is>
      </c>
      <c r="B41" s="20">
        <f>COUNTIFS(Objects!$A$2:$A$61,"&lt;&gt;",Objects!$F$2:$F$61,"")</f>
        <v/>
      </c>
      <c r="D41" s="8" t="inlineStr">
        <is>
          <t>Ownership that is a name in a field rather than structural</t>
        </is>
      </c>
    </row>
    <row r="42">
      <c r="A42" s="6" t="inlineStr">
        <is>
          <t>Objects with no boundary line</t>
        </is>
      </c>
      <c r="B42" s="20">
        <f>COUNTIFS(Objects!$A$2:$A$61,"&lt;&gt;",Objects!$E$2:$E$61,"")</f>
        <v/>
      </c>
      <c r="D42" s="8" t="inlineStr">
        <is>
          <t>The field everybody skips, and the one that closes disputes</t>
        </is>
      </c>
    </row>
    <row r="43">
      <c r="A43" s="6" t="inlineStr">
        <is>
          <t>Objects with no aliases</t>
        </is>
      </c>
      <c r="B43" s="20">
        <f>COUNTIFS(Objects!$A$2:$A$61,"&lt;&gt;",Objects!$C$2:$C$61,"")</f>
        <v/>
      </c>
      <c r="D43" s="8" t="inlineStr">
        <is>
          <t>The other field everybody skips</t>
        </is>
      </c>
    </row>
    <row r="44">
      <c r="A44" s="6" t="inlineStr">
        <is>
          <t>Stale objects</t>
        </is>
      </c>
      <c r="B44" s="20">
        <f>COUNTIF(Objects!$P$2:$P$61,"STALE")</f>
        <v/>
      </c>
      <c r="D44" s="8" t="inlineStr">
        <is>
          <t>Findings, routed to a person with a due date</t>
        </is>
      </c>
    </row>
    <row r="45">
      <c r="A45" s="6" t="inlineStr">
        <is>
          <t>Contested objects</t>
        </is>
      </c>
      <c r="B45" s="20">
        <f>COUNTIF(Objects!$M$2:$M$61,"Contested")</f>
        <v/>
      </c>
      <c r="D45" s="8" t="inlineStr">
        <is>
          <t>Board agenda, not a design forum item</t>
        </is>
      </c>
    </row>
    <row r="46">
      <c r="A46" s="6" t="inlineStr">
        <is>
          <t>Links with no role</t>
        </is>
      </c>
      <c r="B46" s="20">
        <f>COUNTIFS(Links!$A$2:$A$601,"&lt;&gt;",Links!$F$2:$F$601,"")</f>
        <v/>
      </c>
      <c r="D46" s="8" t="inlineStr">
        <is>
          <t>A link without a role tells you nothing you did not suspect</t>
        </is>
      </c>
    </row>
    <row r="47">
      <c r="A47" s="6" t="inlineStr">
        <is>
          <t>Reference copies past expiry</t>
        </is>
      </c>
      <c r="B47" s="20">
        <f>COUNTIFS(Links!$F$2:$F$601,"Reference",Links!$I$2:$I$601,"&lt;0")</f>
        <v/>
      </c>
      <c r="D47" s="8" t="inlineStr">
        <is>
          <t>An unauthorized copy as of today</t>
        </is>
      </c>
    </row>
    <row r="48">
      <c r="A48" s="6" t="inlineStr">
        <is>
          <t>Exceptions past expiry, still open</t>
        </is>
      </c>
      <c r="B48" s="20">
        <f>COUNTIFS(Exceptions!$I$2:$I$101,"Open",Exceptions!$H$2:$H$101,"&lt;0")</f>
        <v/>
      </c>
      <c r="D48" s="8" t="inlineStr">
        <is>
          <t>The quarterly review did not happen</t>
        </is>
      </c>
    </row>
    <row r="49">
      <c r="A49" s="6" t="inlineStr">
        <is>
          <t>Attributes with no decision named</t>
        </is>
      </c>
      <c r="B49" s="20">
        <f>COUNTIFS(Attributes!$A$2:$A$401,"&lt;&gt;",Attributes!$F$2:$F$401,"")</f>
        <v/>
      </c>
      <c r="D49" s="8" t="inlineStr">
        <is>
          <t>Delete them, or the sheet becomes a schema</t>
        </is>
      </c>
    </row>
  </sheetData>
  <conditionalFormatting sqref="D13:D24">
    <cfRule type="expression" priority="1" dxfId="0">
      <formula>ISNUMBER(SEARCH("TWO MASTERS",D13))</formula>
    </cfRule>
    <cfRule type="expression" priority="2" dxfId="2">
      <formula>ISNUMBER(SEARCH("no master",D13))</formula>
    </cfRule>
    <cfRule type="cellIs" priority="3" operator="equal" dxfId="1">
      <formula>"ok"</formula>
    </cfRule>
  </conditionalFormatting>
  <conditionalFormatting sqref="B39">
    <cfRule type="cellIs" priority="4" operator="greaterThan" dxfId="2">
      <formula>0</formula>
    </cfRule>
  </conditionalFormatting>
  <conditionalFormatting sqref="B40">
    <cfRule type="cellIs" priority="5" operator="greaterThan" dxfId="2">
      <formula>0</formula>
    </cfRule>
  </conditionalFormatting>
  <conditionalFormatting sqref="B41">
    <cfRule type="cellIs" priority="6" operator="greaterThan" dxfId="2">
      <formula>0</formula>
    </cfRule>
  </conditionalFormatting>
  <conditionalFormatting sqref="B42">
    <cfRule type="cellIs" priority="7" operator="greaterThan" dxfId="2">
      <formula>0</formula>
    </cfRule>
  </conditionalFormatting>
  <conditionalFormatting sqref="B43">
    <cfRule type="cellIs" priority="8" operator="greaterThan" dxfId="2">
      <formula>0</formula>
    </cfRule>
  </conditionalFormatting>
  <conditionalFormatting sqref="B44">
    <cfRule type="cellIs" priority="9" operator="greaterThan" dxfId="2">
      <formula>0</formula>
    </cfRule>
  </conditionalFormatting>
  <conditionalFormatting sqref="B45">
    <cfRule type="cellIs" priority="10" operator="greaterThan" dxfId="2">
      <formula>0</formula>
    </cfRule>
  </conditionalFormatting>
  <conditionalFormatting sqref="B46">
    <cfRule type="cellIs" priority="11" operator="greaterThan" dxfId="2">
      <formula>0</formula>
    </cfRule>
  </conditionalFormatting>
  <conditionalFormatting sqref="B47">
    <cfRule type="cellIs" priority="12" operator="greaterThan" dxfId="2">
      <formula>0</formula>
    </cfRule>
  </conditionalFormatting>
  <conditionalFormatting sqref="B48">
    <cfRule type="cellIs" priority="13" operator="greaterThan" dxfId="2">
      <formula>0</formula>
    </cfRule>
  </conditionalFormatting>
  <conditionalFormatting sqref="B49">
    <cfRule type="cellIs" priority="14" operator="greaterThan" dxfId="2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2026-08-11T12:59:58Z</dcterms:created>
  <dcterms:modified xmlns:dcterms="http://purl.org/dc/terms/" xmlns:xsi="http://www.w3.org/2001/XMLSchema-instance" xsi:type="dcterms:W3CDTF">2026-08-11T12:59:58Z</dcterms:modified>
</cp:coreProperties>
</file>
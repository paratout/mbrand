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Units" sheetId="2" state="visible" r:id="rId4"/>
    <sheet name="Constraints" sheetId="3" state="visible" r:id="rId5"/>
    <sheet name="Ladder" sheetId="4" state="visible" r:id="rId6"/>
    <sheet name="Decisions" sheetId="5" state="visible" r:id="rId7"/>
    <sheet name="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<sst xmlns="http://schemas.openxmlformats.org/spreadsheetml/2006/main" count="206" uniqueCount="173">
  <si>
    <t xml:space="preserve">Federated adoption tracker</t>
  </si>
  <si>
    <t xml:space="preserve">For change in an organization where nobody has to say yes: autonomous units, balanced governance, hard local constraints, voluntary adoption.</t>
  </si>
  <si>
    <t xml:space="preserve">The five sheets</t>
  </si>
  <si>
    <t xml:space="preserve">Units - one row per unit, with capacity, autonomy and who actually decides there.</t>
  </si>
  <si>
    <t xml:space="preserve">Constraints - the register the whole design rests on. Type, source, effect, response, review date.</t>
  </si>
  <si>
    <t xml:space="preserve">Ladder - where each unit sits on the five rungs, and the single next step for each. This is your weekly working sheet.</t>
  </si>
  <si>
    <t xml:space="preserve">Decisions - the consent log: proposal, objections raised, how each was integrated, and the three clauses.</t>
  </si>
  <si>
    <t xml:space="preserve">Dashboard - ladder distribution, referrals, constraint resolution. Computed, never typed.</t>
  </si>
  <si>
    <t xml:space="preserve">Two rules</t>
  </si>
  <si>
    <t xml:space="preserve">Track the rung and the next step per unit, not a programme plan. A federation where nobody moved a rung in a quarter has a stalled change, whatever the activity looks like.</t>
  </si>
  <si>
    <t xml:space="preserve">Record constraints in their words with the source named - or 'not yet identified'. Never write the word preference where anyone can read it.</t>
  </si>
  <si>
    <t xml:space="preserve">The metric that predicts everything else is unit-to-unit referrals: conversations between units with central not in the room.</t>
  </si>
  <si>
    <t xml:space="preserve">Companion article: mehdibamou.com/publications/governing-without-a-mandate - free to use and adapt</t>
  </si>
  <si>
    <t xml:space="preserve">Unit ID</t>
  </si>
  <si>
    <t xml:space="preserve">Unit</t>
  </si>
  <si>
    <t xml:space="preserve">Size band</t>
  </si>
  <si>
    <t xml:space="preserve">IT capacity</t>
  </si>
  <si>
    <t xml:space="preserve">Who decides here</t>
  </si>
  <si>
    <t xml:space="preserve">Working language</t>
  </si>
  <si>
    <t xml:space="preserve">Last visited</t>
  </si>
  <si>
    <t xml:space="preserve">Visit type</t>
  </si>
  <si>
    <t xml:space="preserve">Champion</t>
  </si>
  <si>
    <t xml:space="preserve">Notes</t>
  </si>
  <si>
    <t xml:space="preserve">U-01</t>
  </si>
  <si>
    <t xml:space="preserve">Unit North</t>
  </si>
  <si>
    <t xml:space="preserve">Large</t>
  </si>
  <si>
    <t xml:space="preserve">Team of ~30</t>
  </si>
  <si>
    <t xml:space="preserve">Director, with board sign-off over a threshold</t>
  </si>
  <si>
    <t xml:space="preserve">EN</t>
  </si>
  <si>
    <t xml:space="preserve">In person</t>
  </si>
  <si>
    <t xml:space="preserve">Yes - ops lead</t>
  </si>
  <si>
    <t xml:space="preserve">Reference implementation risk: designs skew to their scale</t>
  </si>
  <si>
    <t xml:space="preserve">U-02</t>
  </si>
  <si>
    <t xml:space="preserve">Unit East</t>
  </si>
  <si>
    <t xml:space="preserve">Small</t>
  </si>
  <si>
    <t xml:space="preserve">0.25 FTE</t>
  </si>
  <si>
    <t xml:space="preserve">Director alone</t>
  </si>
  <si>
    <t xml:space="preserve">EN, local</t>
  </si>
  <si>
    <t xml:space="preserve">Yes - director</t>
  </si>
  <si>
    <t xml:space="preserve">Capacity is the binding constraint, not willingness</t>
  </si>
  <si>
    <t xml:space="preserve">U-03</t>
  </si>
  <si>
    <t xml:space="preserve">Unit South</t>
  </si>
  <si>
    <t xml:space="preserve">Medium</t>
  </si>
  <si>
    <t xml:space="preserve">2 people</t>
  </si>
  <si>
    <t xml:space="preserve">Management team, monthly</t>
  </si>
  <si>
    <t xml:space="preserve">FR</t>
  </si>
  <si>
    <t xml:space="preserve">Remote</t>
  </si>
  <si>
    <t xml:space="preserve">Not yet</t>
  </si>
  <si>
    <t xml:space="preserve">Sceptical after a previous central rollout</t>
  </si>
  <si>
    <t xml:space="preserve">U-04</t>
  </si>
  <si>
    <t xml:space="preserve">Unit West</t>
  </si>
  <si>
    <t xml:space="preserve">1 person</t>
  </si>
  <si>
    <t xml:space="preserve">Director plus member assembly</t>
  </si>
  <si>
    <t xml:space="preserve">ES</t>
  </si>
  <si>
    <t xml:space="preserve">Unknown</t>
  </si>
  <si>
    <t xml:space="preserve">In the rotation for the coming year</t>
  </si>
  <si>
    <t xml:space="preserve">^ start here. One row per unit. 'Who decides here' is the field people skip and then wonder why proposals stall.</t>
  </si>
  <si>
    <t xml:space="preserve">ID</t>
  </si>
  <si>
    <t xml:space="preserve">Type</t>
  </si>
  <si>
    <t xml:space="preserve">Stated constraint (their words)</t>
  </si>
  <si>
    <t xml:space="preserve">Source</t>
  </si>
  <si>
    <t xml:space="preserve">Effect on design</t>
  </si>
  <si>
    <t xml:space="preserve">Possible response</t>
  </si>
  <si>
    <t xml:space="preserve">Status</t>
  </si>
  <si>
    <t xml:space="preserve">Review date</t>
  </si>
  <si>
    <t xml:space="preserve">C-01</t>
  </si>
  <si>
    <t xml:space="preserve">Funding</t>
  </si>
  <si>
    <t xml:space="preserve">We cannot spend on this in this budget cycle</t>
  </si>
  <si>
    <t xml:space="preserve">Restricted grant funding, confirmed by their finance lead</t>
  </si>
  <si>
    <t xml:space="preserve">Cannot pay a per-unit fee before next cycle</t>
  </si>
  <si>
    <t xml:space="preserve">Central hosting for year one, staged fee from year two</t>
  </si>
  <si>
    <t xml:space="preserve">Open</t>
  </si>
  <si>
    <t xml:space="preserve">C-02</t>
  </si>
  <si>
    <t xml:space="preserve">Legal</t>
  </si>
  <si>
    <t xml:space="preserve">Records may not leave the country</t>
  </si>
  <si>
    <t xml:space="preserve">National rule, citation to confirm</t>
  </si>
  <si>
    <t xml:space="preserve">Rules out a single shared instance abroad</t>
  </si>
  <si>
    <t xml:space="preserve">Regional deployment option, or local cache with shared definitions</t>
  </si>
  <si>
    <t xml:space="preserve">C-03</t>
  </si>
  <si>
    <t xml:space="preserve">Technical</t>
  </si>
  <si>
    <t xml:space="preserve">Partner contract requires their platform until 2029</t>
  </si>
  <si>
    <t xml:space="preserve">Contract, signed 2023</t>
  </si>
  <si>
    <t xml:space="preserve">Interface must accept their export format</t>
  </si>
  <si>
    <t xml:space="preserve">Adapter to the canonical profile</t>
  </si>
  <si>
    <t xml:space="preserve">C-04</t>
  </si>
  <si>
    <t xml:space="preserve">Political</t>
  </si>
  <si>
    <t xml:space="preserve">Director cannot commit without the assembly</t>
  </si>
  <si>
    <t xml:space="preserve">Statutes</t>
  </si>
  <si>
    <t xml:space="preserve">Timing: proposals must land before the assembly cycle</t>
  </si>
  <si>
    <t xml:space="preserve">Two-pager they can forward, timed to their calendar</t>
  </si>
  <si>
    <t xml:space="preserve">C-05</t>
  </si>
  <si>
    <t xml:space="preserve">Capacity</t>
  </si>
  <si>
    <t xml:space="preserve">No one to administer another system</t>
  </si>
  <si>
    <t xml:space="preserve">Stated, source not yet identified</t>
  </si>
  <si>
    <t xml:space="preserve">Ceiling on local complexity for the whole design</t>
  </si>
  <si>
    <t xml:space="preserve">Zero-admin profile; revisit after their hire</t>
  </si>
  <si>
    <t xml:space="preserve">Softened</t>
  </si>
  <si>
    <t xml:space="preserve">^ start here. Type drives the response - see the article. Status: Open, Softened, Resolved, or Superseded.</t>
  </si>
  <si>
    <t xml:space="preserve">Rung</t>
  </si>
  <si>
    <t xml:space="preserve">Rung no</t>
  </si>
  <si>
    <t xml:space="preserve">Since</t>
  </si>
  <si>
    <t xml:space="preserve">The single next step</t>
  </si>
  <si>
    <t xml:space="preserve">Owner of next step</t>
  </si>
  <si>
    <t xml:space="preserve">Referrals made</t>
  </si>
  <si>
    <t xml:space="preserve">Blocked by (constraint ID)</t>
  </si>
  <si>
    <t xml:space="preserve">Adopting</t>
  </si>
  <si>
    <t xml:space="preserve">Present their cost figures at the spring forum</t>
  </si>
  <si>
    <t xml:space="preserve">Their ops lead</t>
  </si>
  <si>
    <t xml:space="preserve">Piloting</t>
  </si>
  <si>
    <t xml:space="preserve">Minimum profile file for one month, hosted centrally</t>
  </si>
  <si>
    <t xml:space="preserve">Me</t>
  </si>
  <si>
    <t xml:space="preserve">Interested</t>
  </si>
  <si>
    <t xml:space="preserve">Send the two-pager in French, then call in three weeks</t>
  </si>
  <si>
    <t xml:space="preserve">Aware</t>
  </si>
  <si>
    <t xml:space="preserve">Visit in the rotation; time the proposal to their assembly</t>
  </si>
  <si>
    <t xml:space="preserve">^ start here. Rung: Aware(1) Interested(2) Piloting(3) Adopting(4) Advocating(5). One next step per unit - if you cannot name it, that is the finding.</t>
  </si>
  <si>
    <t xml:space="preserve">Ref</t>
  </si>
  <si>
    <t xml:space="preserve">Date</t>
  </si>
  <si>
    <t xml:space="preserve">Proposal</t>
  </si>
  <si>
    <t xml:space="preserve">Body</t>
  </si>
  <si>
    <t xml:space="preserve">Outcome</t>
  </si>
  <si>
    <t xml:space="preserve">Objections raised</t>
  </si>
  <si>
    <t xml:space="preserve">How integrated</t>
  </si>
  <si>
    <t xml:space="preserve">Sunset</t>
  </si>
  <si>
    <t xml:space="preserve">Review trigger</t>
  </si>
  <si>
    <t xml:space="preserve">Opt-out / profile</t>
  </si>
  <si>
    <t xml:space="preserve">P-01</t>
  </si>
  <si>
    <t xml:space="preserve">Adopt the minimum exchange profile as the shared way</t>
  </si>
  <si>
    <t xml:space="preserve">Assembly</t>
  </si>
  <si>
    <t xml:space="preserve">Consented</t>
  </si>
  <si>
    <t xml:space="preserve">Two: cost for small units; timing against one budget cycle</t>
  </si>
  <si>
    <t xml:space="preserve">Central hosting added for units under a size threshold; start date moved by one quarter</t>
  </si>
  <si>
    <t xml:space="preserve">If more than two units report the profile unworkable</t>
  </si>
  <si>
    <t xml:space="preserve">Units may send the monthly file instead of the interface</t>
  </si>
  <si>
    <t xml:space="preserve">P-02</t>
  </si>
  <si>
    <t xml:space="preserve">Shared identity for cross-unit staff</t>
  </si>
  <si>
    <t xml:space="preserve">Deferred</t>
  </si>
  <si>
    <t xml:space="preserve">One: data residency unresolved for two units</t>
  </si>
  <si>
    <t xml:space="preserve">Parked with named owner; regional option to be designed and brought back</t>
  </si>
  <si>
    <t xml:space="preserve">When the residency option is designed</t>
  </si>
  <si>
    <t xml:space="preserve">Not yet drafted - this is why it was deferred</t>
  </si>
  <si>
    <t xml:space="preserve">^ start here. Record objections even when integrated - the trend in objection themes is one of your best metrics.</t>
  </si>
  <si>
    <t xml:space="preserve">Adoption at a glance</t>
  </si>
  <si>
    <t xml:space="preserve">Computed from the other sheets. Nothing here is typed.</t>
  </si>
  <si>
    <t xml:space="preserve">Ladder distribution</t>
  </si>
  <si>
    <t xml:space="preserve">Units</t>
  </si>
  <si>
    <t xml:space="preserve">Share</t>
  </si>
  <si>
    <t xml:space="preserve">Interpretation</t>
  </si>
  <si>
    <t xml:space="preserve">Know it exists</t>
  </si>
  <si>
    <t xml:space="preserve">Asked a real question</t>
  </si>
  <si>
    <t xml:space="preserve">Something is running</t>
  </si>
  <si>
    <t xml:space="preserve">Their normal way</t>
  </si>
  <si>
    <t xml:space="preserve">Advocating</t>
  </si>
  <si>
    <t xml:space="preserve">Explaining it to peers without you</t>
  </si>
  <si>
    <t xml:space="preserve">Units tracked</t>
  </si>
  <si>
    <t xml:space="preserve">The numbers that matter</t>
  </si>
  <si>
    <t xml:space="preserve">Past piloting (rung 3+)</t>
  </si>
  <si>
    <t xml:space="preserve">The inversion happens around a third of units</t>
  </si>
  <si>
    <t xml:space="preserve">Share past piloting</t>
  </si>
  <si>
    <t xml:space="preserve">Watch this, not compliance</t>
  </si>
  <si>
    <t xml:space="preserve">Unit-to-unit referrals</t>
  </si>
  <si>
    <t xml:space="preserve">Predicts everything else - the day it beats your outreach, it is self-sustaining</t>
  </si>
  <si>
    <t xml:space="preserve">Units visited in person</t>
  </si>
  <si>
    <t xml:space="preserve">Six to eight in year one is realistic</t>
  </si>
  <si>
    <t xml:space="preserve">Open constraints</t>
  </si>
  <si>
    <t xml:space="preserve">The register earning its keep</t>
  </si>
  <si>
    <t xml:space="preserve">Constraints softened or resolved</t>
  </si>
  <si>
    <t xml:space="preserve">Half of soft constraints dissolve within a year</t>
  </si>
  <si>
    <t xml:space="preserve">Proposals consented</t>
  </si>
  <si>
    <t xml:space="preserve">Permission, not adoption</t>
  </si>
  <si>
    <t xml:space="preserve">Proposals deferred</t>
  </si>
  <si>
    <t xml:space="preserve">Deferral is the default failure mode - integrate objections earlier</t>
  </si>
  <si>
    <t xml:space="preserve">Never track compliance rate. It is near zero for a year and then jumps, and neither number tells you whether you are winning.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</si>
</sst>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%"/>
    <numFmt numFmtId="16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D766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14606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606B"/>
        <bgColor rgb="FF008080"/>
      </patternFill>
    </fill>
    <fill>
      <patternFill patternType="solid">
        <fgColor rgb="FFF2F0EA"/>
        <bgColor rgb="FFE3EFE7"/>
      </patternFill>
    </fill>
    <fill>
      <patternFill patternType="solid">
        <fgColor rgb="FFFFFFCC"/>
        <bgColor rgb="FFF2F0EA"/>
      </patternFill>
    </fill>
    <fill>
      <patternFill patternType="solid">
        <fgColor rgb="FFE3EFE7"/>
        <bgColor rgb="FFF2F0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4E0D7"/>
      </left>
      <right style="thin">
        <color rgb="FFE4E0D7"/>
      </right>
      <top style="thin">
        <color rgb="FFE4E0D7"/>
      </top>
      <bottom style="thin">
        <color rgb="FFE4E0D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606B"/>
      <rgbColor rgb="FFC0C0C0"/>
      <rgbColor rgb="FF7D766E"/>
      <rgbColor rgb="FF9999FF"/>
      <rgbColor rgb="FF993366"/>
      <rgbColor rgb="FFFFFFCC"/>
      <rgbColor rgb="FFE3EFE7"/>
      <rgbColor rgb="FF660066"/>
      <rgbColor rgb="FFFF8080"/>
      <rgbColor rgb="FF0066CC"/>
      <rgbColor rgb="FFE4E0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0E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4"/>
  </cols>
  <sheetData>
    <row r="1" customFormat="false" ht="16.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23.8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34"/>
  </cols>
  <sheetData>
    <row r="1" customFormat="false" ht="23.8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</row>
    <row r="2" customFormat="false" ht="22.35" hidden="false" customHeight="false" outlineLevel="0" collapsed="false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7" t="n">
        <v>46092</v>
      </c>
      <c r="H2" s="6" t="s">
        <v>29</v>
      </c>
      <c r="I2" s="6" t="s">
        <v>30</v>
      </c>
      <c r="J2" s="6" t="s">
        <v>31</v>
      </c>
    </row>
    <row r="3" customFormat="false" ht="22.35" hidden="false" customHeight="false" outlineLevel="0" collapsed="false">
      <c r="A3" s="8" t="s">
        <v>32</v>
      </c>
      <c r="B3" s="8" t="s">
        <v>33</v>
      </c>
      <c r="C3" s="8" t="s">
        <v>34</v>
      </c>
      <c r="D3" s="8" t="s">
        <v>35</v>
      </c>
      <c r="E3" s="8" t="s">
        <v>36</v>
      </c>
      <c r="F3" s="8" t="s">
        <v>37</v>
      </c>
      <c r="G3" s="9" t="n">
        <v>46134</v>
      </c>
      <c r="H3" s="8" t="s">
        <v>29</v>
      </c>
      <c r="I3" s="8" t="s">
        <v>38</v>
      </c>
      <c r="J3" s="8" t="s">
        <v>39</v>
      </c>
    </row>
    <row r="4" customFormat="false" ht="15" hidden="false" customHeight="false" outlineLevel="0" collapsed="false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7" t="n">
        <v>45967</v>
      </c>
      <c r="H4" s="6" t="s">
        <v>46</v>
      </c>
      <c r="I4" s="6" t="s">
        <v>47</v>
      </c>
      <c r="J4" s="6" t="s">
        <v>48</v>
      </c>
    </row>
    <row r="5" customFormat="false" ht="15" hidden="false" customHeight="false" outlineLevel="0" collapsed="false">
      <c r="A5" s="8" t="s">
        <v>49</v>
      </c>
      <c r="B5" s="8" t="s">
        <v>50</v>
      </c>
      <c r="C5" s="8" t="s">
        <v>42</v>
      </c>
      <c r="D5" s="8" t="s">
        <v>51</v>
      </c>
      <c r="E5" s="8" t="s">
        <v>52</v>
      </c>
      <c r="F5" s="8" t="s">
        <v>53</v>
      </c>
      <c r="G5" s="9"/>
      <c r="H5" s="8" t="s">
        <v>47</v>
      </c>
      <c r="I5" s="8" t="s">
        <v>54</v>
      </c>
      <c r="J5" s="8" t="s">
        <v>55</v>
      </c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1"/>
      <c r="H6" s="10"/>
      <c r="I6" s="10"/>
      <c r="J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1"/>
      <c r="H7" s="10"/>
      <c r="I7" s="10"/>
      <c r="J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1"/>
      <c r="H8" s="10"/>
      <c r="I8" s="10"/>
      <c r="J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1"/>
      <c r="H9" s="10"/>
      <c r="I9" s="10"/>
      <c r="J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1"/>
      <c r="H10" s="10"/>
      <c r="I10" s="10"/>
      <c r="J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1"/>
      <c r="H11" s="10"/>
      <c r="I11" s="10"/>
      <c r="J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1"/>
      <c r="H12" s="10"/>
      <c r="I12" s="10"/>
      <c r="J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1"/>
      <c r="H13" s="10"/>
      <c r="I13" s="10"/>
      <c r="J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1"/>
      <c r="H14" s="10"/>
      <c r="I14" s="10"/>
      <c r="J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1"/>
      <c r="H15" s="10"/>
      <c r="I15" s="10"/>
      <c r="J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1"/>
      <c r="H16" s="10"/>
      <c r="I16" s="10"/>
      <c r="J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1"/>
      <c r="H17" s="10"/>
      <c r="I17" s="10"/>
      <c r="J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1"/>
      <c r="H18" s="10"/>
      <c r="I18" s="10"/>
      <c r="J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1"/>
      <c r="H19" s="10"/>
      <c r="I19" s="10"/>
      <c r="J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1"/>
      <c r="H20" s="10"/>
      <c r="I20" s="10"/>
      <c r="J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1"/>
      <c r="H21" s="10"/>
      <c r="I21" s="10"/>
      <c r="J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1"/>
      <c r="H22" s="10"/>
      <c r="I22" s="10"/>
      <c r="J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1"/>
      <c r="H23" s="10"/>
      <c r="I23" s="10"/>
      <c r="J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1"/>
      <c r="H24" s="10"/>
      <c r="I24" s="10"/>
      <c r="J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1"/>
      <c r="H25" s="10"/>
      <c r="I25" s="10"/>
      <c r="J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1"/>
      <c r="H26" s="10"/>
      <c r="I26" s="10"/>
      <c r="J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1"/>
      <c r="H27" s="10"/>
      <c r="I27" s="10"/>
      <c r="J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1"/>
      <c r="H28" s="10"/>
      <c r="I28" s="10"/>
      <c r="J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1"/>
      <c r="H29" s="10"/>
      <c r="I29" s="10"/>
      <c r="J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1"/>
      <c r="H30" s="10"/>
      <c r="I30" s="10"/>
      <c r="J30" s="10"/>
    </row>
    <row r="31" customFormat="false" ht="15" hidden="false" customHeight="false" outlineLevel="0" collapsed="false">
      <c r="G31" s="12"/>
    </row>
    <row r="32" customFormat="false" ht="15" hidden="false" customHeight="false" outlineLevel="0" collapsed="false">
      <c r="A32" s="13" t="s">
        <v>56</v>
      </c>
      <c r="G32" s="12"/>
    </row>
    <row r="33" customFormat="false" ht="15" hidden="false" customHeight="false" outlineLevel="0" collapsed="false">
      <c r="G33" s="12"/>
    </row>
    <row r="34" customFormat="false" ht="15" hidden="false" customHeight="false" outlineLevel="0" collapsed="false">
      <c r="G34" s="12"/>
    </row>
    <row r="35" customFormat="false" ht="15" hidden="false" customHeight="false" outlineLevel="0" collapsed="false">
      <c r="G35" s="12"/>
    </row>
    <row r="36" customFormat="false" ht="15" hidden="false" customHeight="false" outlineLevel="0" collapsed="false">
      <c r="G36" s="12"/>
    </row>
    <row r="37" customFormat="false" ht="15" hidden="false" customHeight="false" outlineLevel="0" collapsed="false">
      <c r="G37" s="12"/>
    </row>
    <row r="38" customFormat="false" ht="15" hidden="false" customHeight="false" outlineLevel="0" collapsed="false">
      <c r="G38" s="12"/>
    </row>
    <row r="39" customFormat="false" ht="15" hidden="false" customHeight="false" outlineLevel="0" collapsed="false">
      <c r="G39" s="12"/>
    </row>
    <row r="40" customFormat="false" ht="15" hidden="false" customHeight="false" outlineLevel="0" collapsed="false">
      <c r="G40" s="12"/>
    </row>
    <row r="41" customFormat="false" ht="15" hidden="false" customHeight="false" outlineLevel="0" collapsed="false">
      <c r="G41" s="12"/>
    </row>
    <row r="42" customFormat="false" ht="15" hidden="false" customHeight="false" outlineLevel="0" collapsed="false">
      <c r="G42" s="12"/>
    </row>
    <row r="43" customFormat="false" ht="15" hidden="false" customHeight="false" outlineLevel="0" collapsed="false">
      <c r="G43" s="12"/>
    </row>
    <row r="44" customFormat="false" ht="15" hidden="false" customHeight="false" outlineLevel="0" collapsed="false">
      <c r="G44" s="12"/>
    </row>
    <row r="45" customFormat="false" ht="15" hidden="false" customHeight="false" outlineLevel="0" collapsed="false">
      <c r="G45" s="12"/>
    </row>
    <row r="46" customFormat="false" ht="15" hidden="false" customHeight="false" outlineLevel="0" collapsed="false">
      <c r="G46" s="12"/>
    </row>
    <row r="47" customFormat="false" ht="15" hidden="false" customHeight="false" outlineLevel="0" collapsed="false">
      <c r="G47" s="12"/>
    </row>
    <row r="48" customFormat="false" ht="15" hidden="false" customHeight="false" outlineLevel="0" collapsed="false">
      <c r="G48" s="12"/>
    </row>
    <row r="49" customFormat="false" ht="15" hidden="false" customHeight="false" outlineLevel="0" collapsed="false">
      <c r="G49" s="12"/>
    </row>
    <row r="50" customFormat="false" ht="15" hidden="false" customHeight="false" outlineLevel="0" collapsed="false">
      <c r="G50" s="12"/>
    </row>
    <row r="51" customFormat="false" ht="15" hidden="false" customHeight="false" outlineLevel="0" collapsed="false">
      <c r="G51" s="12"/>
    </row>
    <row r="52" customFormat="false" ht="15" hidden="false" customHeight="false" outlineLevel="0" collapsed="false">
      <c r="G52" s="12"/>
    </row>
    <row r="53" customFormat="false" ht="15" hidden="false" customHeight="false" outlineLevel="0" collapsed="false">
      <c r="G53" s="12"/>
    </row>
    <row r="54" customFormat="false" ht="15" hidden="false" customHeight="false" outlineLevel="0" collapsed="false">
      <c r="G54" s="12"/>
    </row>
    <row r="55" customFormat="false" ht="15" hidden="false" customHeight="false" outlineLevel="0" collapsed="false">
      <c r="G55" s="12"/>
    </row>
    <row r="56" customFormat="false" ht="15" hidden="false" customHeight="false" outlineLevel="0" collapsed="false">
      <c r="G56" s="12"/>
    </row>
    <row r="57" customFormat="false" ht="15" hidden="false" customHeight="false" outlineLevel="0" collapsed="false">
      <c r="G57" s="12"/>
    </row>
    <row r="58" customFormat="false" ht="15" hidden="false" customHeight="false" outlineLevel="0" collapsed="false">
      <c r="G58" s="12"/>
    </row>
    <row r="59" customFormat="false" ht="15" hidden="false" customHeight="false" outlineLevel="0" collapsed="false">
      <c r="G59" s="12"/>
    </row>
  </sheetData>
  <dataValidations count="2">
    <dataValidation allowBlank="true" errorStyle="stop" operator="between" showDropDown="false" showErrorMessage="false" showInputMessage="false" sqref="C2:C60" type="list">
      <formula1>"Large,Medium,Small"</formula1>
      <formula2>0</formula2>
    </dataValidation>
    <dataValidation allowBlank="true" errorStyle="stop" operator="between" showDropDown="false" showErrorMessage="false" showInputMessage="false" sqref="H2:H60" type="list">
      <formula1>"In person,Remote,Not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7" min="6" style="0" width="30"/>
    <col collapsed="false" customWidth="true" hidden="false" outlineLevel="0" max="8" min="8" style="0" width="14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5" t="s">
        <v>57</v>
      </c>
      <c r="B1" s="5" t="s">
        <v>14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</row>
    <row r="2" customFormat="false" ht="22.35" hidden="false" customHeight="false" outlineLevel="0" collapsed="false">
      <c r="A2" s="6" t="s">
        <v>65</v>
      </c>
      <c r="B2" s="6" t="s">
        <v>32</v>
      </c>
      <c r="C2" s="6" t="s">
        <v>66</v>
      </c>
      <c r="D2" s="6" t="s">
        <v>67</v>
      </c>
      <c r="E2" s="6" t="s">
        <v>68</v>
      </c>
      <c r="F2" s="6" t="s">
        <v>69</v>
      </c>
      <c r="G2" s="6" t="s">
        <v>70</v>
      </c>
      <c r="H2" s="6" t="s">
        <v>71</v>
      </c>
      <c r="I2" s="7" t="n">
        <v>46296</v>
      </c>
    </row>
    <row r="3" customFormat="false" ht="22.35" hidden="false" customHeight="false" outlineLevel="0" collapsed="false">
      <c r="A3" s="8" t="s">
        <v>72</v>
      </c>
      <c r="B3" s="8" t="s">
        <v>40</v>
      </c>
      <c r="C3" s="8" t="s">
        <v>73</v>
      </c>
      <c r="D3" s="8" t="s">
        <v>74</v>
      </c>
      <c r="E3" s="8" t="s">
        <v>75</v>
      </c>
      <c r="F3" s="8" t="s">
        <v>76</v>
      </c>
      <c r="G3" s="8" t="s">
        <v>77</v>
      </c>
      <c r="H3" s="8" t="s">
        <v>71</v>
      </c>
      <c r="I3" s="9" t="n">
        <v>46280</v>
      </c>
    </row>
    <row r="4" customFormat="false" ht="22.35" hidden="false" customHeight="false" outlineLevel="0" collapsed="false">
      <c r="A4" s="6" t="s">
        <v>78</v>
      </c>
      <c r="B4" s="6" t="s">
        <v>23</v>
      </c>
      <c r="C4" s="6" t="s">
        <v>79</v>
      </c>
      <c r="D4" s="6" t="s">
        <v>80</v>
      </c>
      <c r="E4" s="6" t="s">
        <v>81</v>
      </c>
      <c r="F4" s="6" t="s">
        <v>82</v>
      </c>
      <c r="G4" s="6" t="s">
        <v>83</v>
      </c>
      <c r="H4" s="6" t="s">
        <v>71</v>
      </c>
      <c r="I4" s="7" t="n">
        <v>47119</v>
      </c>
    </row>
    <row r="5" customFormat="false" ht="22.35" hidden="false" customHeight="false" outlineLevel="0" collapsed="false">
      <c r="A5" s="8" t="s">
        <v>84</v>
      </c>
      <c r="B5" s="8" t="s">
        <v>49</v>
      </c>
      <c r="C5" s="8" t="s">
        <v>85</v>
      </c>
      <c r="D5" s="8" t="s">
        <v>86</v>
      </c>
      <c r="E5" s="8" t="s">
        <v>87</v>
      </c>
      <c r="F5" s="8" t="s">
        <v>88</v>
      </c>
      <c r="G5" s="8" t="s">
        <v>89</v>
      </c>
      <c r="H5" s="8" t="s">
        <v>71</v>
      </c>
      <c r="I5" s="9" t="n">
        <v>46356</v>
      </c>
    </row>
    <row r="6" customFormat="false" ht="22.35" hidden="false" customHeight="false" outlineLevel="0" collapsed="false">
      <c r="A6" s="6" t="s">
        <v>90</v>
      </c>
      <c r="B6" s="6" t="s">
        <v>40</v>
      </c>
      <c r="C6" s="6" t="s">
        <v>91</v>
      </c>
      <c r="D6" s="6" t="s">
        <v>92</v>
      </c>
      <c r="E6" s="6" t="s">
        <v>93</v>
      </c>
      <c r="F6" s="6" t="s">
        <v>94</v>
      </c>
      <c r="G6" s="6" t="s">
        <v>95</v>
      </c>
      <c r="H6" s="6" t="s">
        <v>96</v>
      </c>
      <c r="I6" s="7" t="n">
        <v>46357</v>
      </c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1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1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1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1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1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1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1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1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1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1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1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1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1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1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1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1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1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1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1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1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1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1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1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1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1"/>
    </row>
    <row r="32" customFormat="false" ht="15" hidden="false" customHeight="false" outlineLevel="0" collapsed="false">
      <c r="I32" s="12"/>
    </row>
    <row r="33" customFormat="false" ht="15" hidden="false" customHeight="false" outlineLevel="0" collapsed="false">
      <c r="A33" s="13" t="s">
        <v>97</v>
      </c>
      <c r="I33" s="12"/>
    </row>
    <row r="34" customFormat="false" ht="15" hidden="false" customHeight="false" outlineLevel="0" collapsed="false">
      <c r="I34" s="12"/>
    </row>
    <row r="35" customFormat="false" ht="15" hidden="false" customHeight="false" outlineLevel="0" collapsed="false">
      <c r="I35" s="12"/>
    </row>
    <row r="36" customFormat="false" ht="15" hidden="false" customHeight="false" outlineLevel="0" collapsed="false">
      <c r="I36" s="12"/>
    </row>
    <row r="37" customFormat="false" ht="15" hidden="false" customHeight="false" outlineLevel="0" collapsed="false">
      <c r="I37" s="12"/>
    </row>
    <row r="38" customFormat="false" ht="15" hidden="false" customHeight="false" outlineLevel="0" collapsed="false">
      <c r="I38" s="12"/>
    </row>
    <row r="39" customFormat="false" ht="15" hidden="false" customHeight="false" outlineLevel="0" collapsed="false">
      <c r="I39" s="12"/>
    </row>
    <row r="40" customFormat="false" ht="15" hidden="false" customHeight="false" outlineLevel="0" collapsed="false">
      <c r="I40" s="12"/>
    </row>
    <row r="41" customFormat="false" ht="15" hidden="false" customHeight="false" outlineLevel="0" collapsed="false">
      <c r="I41" s="12"/>
    </row>
    <row r="42" customFormat="false" ht="15" hidden="false" customHeight="false" outlineLevel="0" collapsed="false">
      <c r="I42" s="12"/>
    </row>
    <row r="43" customFormat="false" ht="15" hidden="false" customHeight="false" outlineLevel="0" collapsed="false">
      <c r="I43" s="12"/>
    </row>
    <row r="44" customFormat="false" ht="15" hidden="false" customHeight="false" outlineLevel="0" collapsed="false">
      <c r="I44" s="12"/>
    </row>
    <row r="45" customFormat="false" ht="15" hidden="false" customHeight="false" outlineLevel="0" collapsed="false">
      <c r="I45" s="12"/>
    </row>
    <row r="46" customFormat="false" ht="15" hidden="false" customHeight="false" outlineLevel="0" collapsed="false">
      <c r="I46" s="12"/>
    </row>
    <row r="47" customFormat="false" ht="15" hidden="false" customHeight="false" outlineLevel="0" collapsed="false">
      <c r="I47" s="12"/>
    </row>
    <row r="48" customFormat="false" ht="15" hidden="false" customHeight="false" outlineLevel="0" collapsed="false">
      <c r="I48" s="12"/>
    </row>
    <row r="49" customFormat="false" ht="15" hidden="false" customHeight="false" outlineLevel="0" collapsed="false">
      <c r="I49" s="12"/>
    </row>
    <row r="50" customFormat="false" ht="15" hidden="false" customHeight="false" outlineLevel="0" collapsed="false">
      <c r="I50" s="12"/>
    </row>
    <row r="51" customFormat="false" ht="15" hidden="false" customHeight="false" outlineLevel="0" collapsed="false">
      <c r="I51" s="12"/>
    </row>
    <row r="52" customFormat="false" ht="15" hidden="false" customHeight="false" outlineLevel="0" collapsed="false">
      <c r="I52" s="12"/>
    </row>
    <row r="53" customFormat="false" ht="15" hidden="false" customHeight="false" outlineLevel="0" collapsed="false">
      <c r="I53" s="12"/>
    </row>
    <row r="54" customFormat="false" ht="15" hidden="false" customHeight="false" outlineLevel="0" collapsed="false">
      <c r="I54" s="12"/>
    </row>
    <row r="55" customFormat="false" ht="15" hidden="false" customHeight="false" outlineLevel="0" collapsed="false">
      <c r="I55" s="12"/>
    </row>
    <row r="56" customFormat="false" ht="15" hidden="false" customHeight="false" outlineLevel="0" collapsed="false">
      <c r="I56" s="12"/>
    </row>
    <row r="57" customFormat="false" ht="15" hidden="false" customHeight="false" outlineLevel="0" collapsed="false">
      <c r="I57" s="12"/>
    </row>
    <row r="58" customFormat="false" ht="15" hidden="false" customHeight="false" outlineLevel="0" collapsed="false">
      <c r="I58" s="12"/>
    </row>
    <row r="59" customFormat="false" ht="15" hidden="false" customHeight="false" outlineLevel="0" collapsed="false">
      <c r="I59" s="12"/>
    </row>
  </sheetData>
  <dataValidations count="2">
    <dataValidation allowBlank="true" errorStyle="stop" operator="between" showDropDown="false" showErrorMessage="false" showInputMessage="false" sqref="C2:C60" type="list">
      <formula1>"Legal,Funding,Capacity,Language,Political,Technical"</formula1>
      <formula2>0</formula2>
    </dataValidation>
    <dataValidation allowBlank="true" errorStyle="stop" operator="between" showDropDown="false" showErrorMessage="false" showInputMessage="false" sqref="H2:H60" type="list">
      <formula1>"Open,Softened,Resolved,Superseded"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42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23.85" hidden="false" customHeight="false" outlineLevel="0" collapsed="false">
      <c r="A1" s="5" t="s">
        <v>13</v>
      </c>
      <c r="B1" s="5" t="s">
        <v>14</v>
      </c>
      <c r="C1" s="5" t="s">
        <v>98</v>
      </c>
      <c r="D1" s="5" t="s">
        <v>99</v>
      </c>
      <c r="E1" s="5" t="s">
        <v>100</v>
      </c>
      <c r="F1" s="5" t="s">
        <v>101</v>
      </c>
      <c r="G1" s="5" t="s">
        <v>102</v>
      </c>
      <c r="H1" s="5" t="s">
        <v>103</v>
      </c>
      <c r="I1" s="5" t="s">
        <v>104</v>
      </c>
    </row>
    <row r="2" customFormat="false" ht="15" hidden="false" customHeight="false" outlineLevel="0" collapsed="false">
      <c r="A2" s="6" t="s">
        <v>23</v>
      </c>
      <c r="B2" s="6" t="s">
        <v>24</v>
      </c>
      <c r="C2" s="6" t="s">
        <v>105</v>
      </c>
      <c r="D2" s="6" t="n">
        <v>4</v>
      </c>
      <c r="E2" s="7" t="n">
        <v>46063</v>
      </c>
      <c r="F2" s="6" t="s">
        <v>106</v>
      </c>
      <c r="G2" s="6" t="s">
        <v>107</v>
      </c>
      <c r="H2" s="6" t="n">
        <v>2</v>
      </c>
      <c r="I2" s="6"/>
    </row>
    <row r="3" customFormat="false" ht="15" hidden="false" customHeight="false" outlineLevel="0" collapsed="false">
      <c r="A3" s="8" t="s">
        <v>32</v>
      </c>
      <c r="B3" s="8" t="s">
        <v>33</v>
      </c>
      <c r="C3" s="8" t="s">
        <v>108</v>
      </c>
      <c r="D3" s="8" t="n">
        <v>3</v>
      </c>
      <c r="E3" s="9" t="n">
        <v>46146</v>
      </c>
      <c r="F3" s="8" t="s">
        <v>109</v>
      </c>
      <c r="G3" s="8" t="s">
        <v>110</v>
      </c>
      <c r="H3" s="8" t="n">
        <v>0</v>
      </c>
      <c r="I3" s="8" t="s">
        <v>65</v>
      </c>
    </row>
    <row r="4" customFormat="false" ht="15" hidden="false" customHeight="false" outlineLevel="0" collapsed="false">
      <c r="A4" s="6" t="s">
        <v>40</v>
      </c>
      <c r="B4" s="6" t="s">
        <v>41</v>
      </c>
      <c r="C4" s="6" t="s">
        <v>111</v>
      </c>
      <c r="D4" s="6" t="n">
        <v>2</v>
      </c>
      <c r="E4" s="7" t="n">
        <v>46191</v>
      </c>
      <c r="F4" s="6" t="s">
        <v>112</v>
      </c>
      <c r="G4" s="6" t="s">
        <v>110</v>
      </c>
      <c r="H4" s="6" t="n">
        <v>0</v>
      </c>
      <c r="I4" s="6" t="s">
        <v>90</v>
      </c>
    </row>
    <row r="5" customFormat="false" ht="15" hidden="false" customHeight="false" outlineLevel="0" collapsed="false">
      <c r="A5" s="8" t="s">
        <v>49</v>
      </c>
      <c r="B5" s="8" t="s">
        <v>50</v>
      </c>
      <c r="C5" s="8" t="s">
        <v>113</v>
      </c>
      <c r="D5" s="8" t="n">
        <v>1</v>
      </c>
      <c r="E5" s="9" t="n">
        <v>46205</v>
      </c>
      <c r="F5" s="8" t="s">
        <v>114</v>
      </c>
      <c r="G5" s="8" t="s">
        <v>110</v>
      </c>
      <c r="H5" s="8" t="n">
        <v>0</v>
      </c>
      <c r="I5" s="8" t="s">
        <v>84</v>
      </c>
    </row>
    <row r="6" customFormat="false" ht="15" hidden="false" customHeight="false" outlineLevel="0" collapsed="false">
      <c r="A6" s="10"/>
      <c r="B6" s="10"/>
      <c r="C6" s="10"/>
      <c r="D6" s="10"/>
      <c r="E6" s="11"/>
      <c r="F6" s="10"/>
      <c r="G6" s="10"/>
      <c r="H6" s="10"/>
      <c r="I6" s="10"/>
    </row>
    <row r="7" customFormat="false" ht="15" hidden="false" customHeight="false" outlineLevel="0" collapsed="false">
      <c r="A7" s="10"/>
      <c r="B7" s="10"/>
      <c r="C7" s="10"/>
      <c r="D7" s="10"/>
      <c r="E7" s="11"/>
      <c r="F7" s="10"/>
      <c r="G7" s="10"/>
      <c r="H7" s="10"/>
      <c r="I7" s="10"/>
    </row>
    <row r="8" customFormat="false" ht="15" hidden="false" customHeight="false" outlineLevel="0" collapsed="false">
      <c r="A8" s="10"/>
      <c r="B8" s="10"/>
      <c r="C8" s="10"/>
      <c r="D8" s="10"/>
      <c r="E8" s="11"/>
      <c r="F8" s="10"/>
      <c r="G8" s="10"/>
      <c r="H8" s="10"/>
      <c r="I8" s="10"/>
    </row>
    <row r="9" customFormat="false" ht="15" hidden="false" customHeight="false" outlineLevel="0" collapsed="false">
      <c r="A9" s="10"/>
      <c r="B9" s="10"/>
      <c r="C9" s="10"/>
      <c r="D9" s="10"/>
      <c r="E9" s="11"/>
      <c r="F9" s="10"/>
      <c r="G9" s="10"/>
      <c r="H9" s="10"/>
      <c r="I9" s="10"/>
    </row>
    <row r="10" customFormat="false" ht="15" hidden="false" customHeight="false" outlineLevel="0" collapsed="false">
      <c r="A10" s="10"/>
      <c r="B10" s="10"/>
      <c r="C10" s="10"/>
      <c r="D10" s="10"/>
      <c r="E10" s="11"/>
      <c r="F10" s="10"/>
      <c r="G10" s="10"/>
      <c r="H10" s="10"/>
      <c r="I10" s="10"/>
    </row>
    <row r="11" customFormat="false" ht="15" hidden="false" customHeight="false" outlineLevel="0" collapsed="false">
      <c r="A11" s="10"/>
      <c r="B11" s="10"/>
      <c r="C11" s="10"/>
      <c r="D11" s="10"/>
      <c r="E11" s="11"/>
      <c r="F11" s="10"/>
      <c r="G11" s="10"/>
      <c r="H11" s="10"/>
      <c r="I11" s="10"/>
    </row>
    <row r="12" customFormat="false" ht="15" hidden="false" customHeight="false" outlineLevel="0" collapsed="false">
      <c r="A12" s="10"/>
      <c r="B12" s="10"/>
      <c r="C12" s="10"/>
      <c r="D12" s="10"/>
      <c r="E12" s="11"/>
      <c r="F12" s="10"/>
      <c r="G12" s="10"/>
      <c r="H12" s="10"/>
      <c r="I12" s="10"/>
    </row>
    <row r="13" customFormat="false" ht="15" hidden="false" customHeight="false" outlineLevel="0" collapsed="false">
      <c r="A13" s="10"/>
      <c r="B13" s="10"/>
      <c r="C13" s="10"/>
      <c r="D13" s="10"/>
      <c r="E13" s="11"/>
      <c r="F13" s="10"/>
      <c r="G13" s="10"/>
      <c r="H13" s="10"/>
      <c r="I13" s="10"/>
    </row>
    <row r="14" customFormat="false" ht="15" hidden="false" customHeight="false" outlineLevel="0" collapsed="false">
      <c r="A14" s="10"/>
      <c r="B14" s="10"/>
      <c r="C14" s="10"/>
      <c r="D14" s="10"/>
      <c r="E14" s="11"/>
      <c r="F14" s="10"/>
      <c r="G14" s="10"/>
      <c r="H14" s="10"/>
      <c r="I14" s="10"/>
    </row>
    <row r="15" customFormat="false" ht="15" hidden="false" customHeight="false" outlineLevel="0" collapsed="false">
      <c r="A15" s="10"/>
      <c r="B15" s="10"/>
      <c r="C15" s="10"/>
      <c r="D15" s="10"/>
      <c r="E15" s="11"/>
      <c r="F15" s="10"/>
      <c r="G15" s="10"/>
      <c r="H15" s="10"/>
      <c r="I15" s="10"/>
    </row>
    <row r="16" customFormat="false" ht="15" hidden="false" customHeight="false" outlineLevel="0" collapsed="false">
      <c r="A16" s="10"/>
      <c r="B16" s="10"/>
      <c r="C16" s="10"/>
      <c r="D16" s="10"/>
      <c r="E16" s="11"/>
      <c r="F16" s="10"/>
      <c r="G16" s="10"/>
      <c r="H16" s="10"/>
      <c r="I16" s="10"/>
    </row>
    <row r="17" customFormat="false" ht="15" hidden="false" customHeight="false" outlineLevel="0" collapsed="false">
      <c r="A17" s="10"/>
      <c r="B17" s="10"/>
      <c r="C17" s="10"/>
      <c r="D17" s="10"/>
      <c r="E17" s="11"/>
      <c r="F17" s="10"/>
      <c r="G17" s="10"/>
      <c r="H17" s="10"/>
      <c r="I17" s="10"/>
    </row>
    <row r="18" customFormat="false" ht="15" hidden="false" customHeight="false" outlineLevel="0" collapsed="false">
      <c r="A18" s="10"/>
      <c r="B18" s="10"/>
      <c r="C18" s="10"/>
      <c r="D18" s="10"/>
      <c r="E18" s="11"/>
      <c r="F18" s="10"/>
      <c r="G18" s="10"/>
      <c r="H18" s="10"/>
      <c r="I18" s="10"/>
    </row>
    <row r="19" customFormat="false" ht="15" hidden="false" customHeight="false" outlineLevel="0" collapsed="false">
      <c r="A19" s="10"/>
      <c r="B19" s="10"/>
      <c r="C19" s="10"/>
      <c r="D19" s="10"/>
      <c r="E19" s="11"/>
      <c r="F19" s="10"/>
      <c r="G19" s="10"/>
      <c r="H19" s="10"/>
      <c r="I19" s="10"/>
    </row>
    <row r="20" customFormat="false" ht="15" hidden="false" customHeight="false" outlineLevel="0" collapsed="false">
      <c r="A20" s="10"/>
      <c r="B20" s="10"/>
      <c r="C20" s="10"/>
      <c r="D20" s="10"/>
      <c r="E20" s="11"/>
      <c r="F20" s="10"/>
      <c r="G20" s="10"/>
      <c r="H20" s="10"/>
      <c r="I20" s="10"/>
    </row>
    <row r="21" customFormat="false" ht="15" hidden="false" customHeight="false" outlineLevel="0" collapsed="false">
      <c r="A21" s="10"/>
      <c r="B21" s="10"/>
      <c r="C21" s="10"/>
      <c r="D21" s="10"/>
      <c r="E21" s="11"/>
      <c r="F21" s="10"/>
      <c r="G21" s="10"/>
      <c r="H21" s="10"/>
      <c r="I21" s="10"/>
    </row>
    <row r="22" customFormat="false" ht="15" hidden="false" customHeight="false" outlineLevel="0" collapsed="false">
      <c r="A22" s="10"/>
      <c r="B22" s="10"/>
      <c r="C22" s="10"/>
      <c r="D22" s="10"/>
      <c r="E22" s="11"/>
      <c r="F22" s="10"/>
      <c r="G22" s="10"/>
      <c r="H22" s="10"/>
      <c r="I22" s="10"/>
    </row>
    <row r="23" customFormat="false" ht="15" hidden="false" customHeight="false" outlineLevel="0" collapsed="false">
      <c r="A23" s="10"/>
      <c r="B23" s="10"/>
      <c r="C23" s="10"/>
      <c r="D23" s="10"/>
      <c r="E23" s="11"/>
      <c r="F23" s="10"/>
      <c r="G23" s="10"/>
      <c r="H23" s="10"/>
      <c r="I23" s="10"/>
    </row>
    <row r="24" customFormat="false" ht="15" hidden="false" customHeight="false" outlineLevel="0" collapsed="false">
      <c r="A24" s="10"/>
      <c r="B24" s="10"/>
      <c r="C24" s="10"/>
      <c r="D24" s="10"/>
      <c r="E24" s="11"/>
      <c r="F24" s="10"/>
      <c r="G24" s="10"/>
      <c r="H24" s="10"/>
      <c r="I24" s="10"/>
    </row>
    <row r="25" customFormat="false" ht="15" hidden="false" customHeight="false" outlineLevel="0" collapsed="false">
      <c r="A25" s="10"/>
      <c r="B25" s="10"/>
      <c r="C25" s="10"/>
      <c r="D25" s="10"/>
      <c r="E25" s="11"/>
      <c r="F25" s="10"/>
      <c r="G25" s="10"/>
      <c r="H25" s="10"/>
      <c r="I25" s="10"/>
    </row>
    <row r="26" customFormat="false" ht="15" hidden="false" customHeight="false" outlineLevel="0" collapsed="false">
      <c r="A26" s="10"/>
      <c r="B26" s="10"/>
      <c r="C26" s="10"/>
      <c r="D26" s="10"/>
      <c r="E26" s="11"/>
      <c r="F26" s="10"/>
      <c r="G26" s="10"/>
      <c r="H26" s="10"/>
      <c r="I26" s="10"/>
    </row>
    <row r="27" customFormat="false" ht="15" hidden="false" customHeight="false" outlineLevel="0" collapsed="false">
      <c r="A27" s="10"/>
      <c r="B27" s="10"/>
      <c r="C27" s="10"/>
      <c r="D27" s="10"/>
      <c r="E27" s="11"/>
      <c r="F27" s="10"/>
      <c r="G27" s="10"/>
      <c r="H27" s="10"/>
      <c r="I27" s="10"/>
    </row>
    <row r="28" customFormat="false" ht="15" hidden="false" customHeight="false" outlineLevel="0" collapsed="false">
      <c r="A28" s="10"/>
      <c r="B28" s="10"/>
      <c r="C28" s="10"/>
      <c r="D28" s="10"/>
      <c r="E28" s="11"/>
      <c r="F28" s="10"/>
      <c r="G28" s="10"/>
      <c r="H28" s="10"/>
      <c r="I28" s="10"/>
    </row>
    <row r="29" customFormat="false" ht="15" hidden="false" customHeight="false" outlineLevel="0" collapsed="false">
      <c r="A29" s="10"/>
      <c r="B29" s="10"/>
      <c r="C29" s="10"/>
      <c r="D29" s="10"/>
      <c r="E29" s="11"/>
      <c r="F29" s="10"/>
      <c r="G29" s="10"/>
      <c r="H29" s="10"/>
      <c r="I29" s="10"/>
    </row>
    <row r="30" customFormat="false" ht="15" hidden="false" customHeight="false" outlineLevel="0" collapsed="false">
      <c r="A30" s="10"/>
      <c r="B30" s="10"/>
      <c r="C30" s="10"/>
      <c r="D30" s="10"/>
      <c r="E30" s="11"/>
      <c r="F30" s="10"/>
      <c r="G30" s="10"/>
      <c r="H30" s="10"/>
      <c r="I30" s="10"/>
    </row>
    <row r="32" customFormat="false" ht="15" hidden="false" customHeight="false" outlineLevel="0" collapsed="false">
      <c r="A32" s="13" t="s">
        <v>115</v>
      </c>
    </row>
  </sheetData>
  <dataValidations count="1">
    <dataValidation allowBlank="true" errorStyle="stop" operator="between" showDropDown="false" showErrorMessage="false" showInputMessage="false" sqref="C2:C60" type="list">
      <formula1>"Aware,Interested,Piloting,Adopting,Advocating"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34"/>
    <col collapsed="false" customWidth="true" hidden="false" outlineLevel="0" max="8" min="8" style="0" width="12"/>
    <col collapsed="false" customWidth="true" hidden="false" outlineLevel="0" max="9" min="9" style="0" width="26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5" t="s">
        <v>116</v>
      </c>
      <c r="B1" s="5" t="s">
        <v>117</v>
      </c>
      <c r="C1" s="5" t="s">
        <v>118</v>
      </c>
      <c r="D1" s="5" t="s">
        <v>119</v>
      </c>
      <c r="E1" s="5" t="s">
        <v>120</v>
      </c>
      <c r="F1" s="5" t="s">
        <v>121</v>
      </c>
      <c r="G1" s="5" t="s">
        <v>122</v>
      </c>
      <c r="H1" s="5" t="s">
        <v>123</v>
      </c>
      <c r="I1" s="5" t="s">
        <v>124</v>
      </c>
      <c r="J1" s="5" t="s">
        <v>125</v>
      </c>
    </row>
    <row r="2" customFormat="false" ht="22.35" hidden="false" customHeight="false" outlineLevel="0" collapsed="false">
      <c r="A2" s="6" t="s">
        <v>126</v>
      </c>
      <c r="B2" s="7" t="n">
        <v>46105</v>
      </c>
      <c r="C2" s="6" t="s">
        <v>127</v>
      </c>
      <c r="D2" s="6" t="s">
        <v>128</v>
      </c>
      <c r="E2" s="6" t="s">
        <v>129</v>
      </c>
      <c r="F2" s="6" t="s">
        <v>130</v>
      </c>
      <c r="G2" s="6" t="s">
        <v>131</v>
      </c>
      <c r="H2" s="7" t="n">
        <v>46660</v>
      </c>
      <c r="I2" s="6" t="s">
        <v>132</v>
      </c>
      <c r="J2" s="6" t="s">
        <v>133</v>
      </c>
    </row>
    <row r="3" customFormat="false" ht="22.35" hidden="false" customHeight="false" outlineLevel="0" collapsed="false">
      <c r="A3" s="8" t="s">
        <v>134</v>
      </c>
      <c r="B3" s="9" t="n">
        <v>46182</v>
      </c>
      <c r="C3" s="8" t="s">
        <v>135</v>
      </c>
      <c r="D3" s="8" t="s">
        <v>128</v>
      </c>
      <c r="E3" s="8" t="s">
        <v>136</v>
      </c>
      <c r="F3" s="8" t="s">
        <v>137</v>
      </c>
      <c r="G3" s="8" t="s">
        <v>138</v>
      </c>
      <c r="H3" s="9"/>
      <c r="I3" s="8" t="s">
        <v>139</v>
      </c>
      <c r="J3" s="8" t="s">
        <v>140</v>
      </c>
    </row>
    <row r="4" customFormat="false" ht="15" hidden="false" customHeight="false" outlineLevel="0" collapsed="false">
      <c r="A4" s="10"/>
      <c r="B4" s="11"/>
      <c r="C4" s="10"/>
      <c r="D4" s="10"/>
      <c r="E4" s="10"/>
      <c r="F4" s="10"/>
      <c r="G4" s="10"/>
      <c r="H4" s="11"/>
      <c r="I4" s="10"/>
      <c r="J4" s="10"/>
    </row>
    <row r="5" customFormat="false" ht="15" hidden="false" customHeight="false" outlineLevel="0" collapsed="false">
      <c r="A5" s="10"/>
      <c r="B5" s="11"/>
      <c r="C5" s="10"/>
      <c r="D5" s="10"/>
      <c r="E5" s="10"/>
      <c r="F5" s="10"/>
      <c r="G5" s="10"/>
      <c r="H5" s="11"/>
      <c r="I5" s="10"/>
      <c r="J5" s="10"/>
    </row>
    <row r="6" customFormat="false" ht="15" hidden="false" customHeight="false" outlineLevel="0" collapsed="false">
      <c r="A6" s="10"/>
      <c r="B6" s="11"/>
      <c r="C6" s="10"/>
      <c r="D6" s="10"/>
      <c r="E6" s="10"/>
      <c r="F6" s="10"/>
      <c r="G6" s="10"/>
      <c r="H6" s="11"/>
      <c r="I6" s="10"/>
      <c r="J6" s="10"/>
    </row>
    <row r="7" customFormat="false" ht="15" hidden="false" customHeight="false" outlineLevel="0" collapsed="false">
      <c r="A7" s="10"/>
      <c r="B7" s="11"/>
      <c r="C7" s="10"/>
      <c r="D7" s="10"/>
      <c r="E7" s="10"/>
      <c r="F7" s="10"/>
      <c r="G7" s="10"/>
      <c r="H7" s="11"/>
      <c r="I7" s="10"/>
      <c r="J7" s="10"/>
    </row>
    <row r="8" customFormat="false" ht="15" hidden="false" customHeight="false" outlineLevel="0" collapsed="false">
      <c r="A8" s="10"/>
      <c r="B8" s="11"/>
      <c r="C8" s="10"/>
      <c r="D8" s="10"/>
      <c r="E8" s="10"/>
      <c r="F8" s="10"/>
      <c r="G8" s="10"/>
      <c r="H8" s="11"/>
      <c r="I8" s="10"/>
      <c r="J8" s="10"/>
    </row>
    <row r="9" customFormat="false" ht="15" hidden="false" customHeight="false" outlineLevel="0" collapsed="false">
      <c r="A9" s="10"/>
      <c r="B9" s="11"/>
      <c r="C9" s="10"/>
      <c r="D9" s="10"/>
      <c r="E9" s="10"/>
      <c r="F9" s="10"/>
      <c r="G9" s="10"/>
      <c r="H9" s="11"/>
      <c r="I9" s="10"/>
      <c r="J9" s="10"/>
    </row>
    <row r="10" customFormat="false" ht="15" hidden="false" customHeight="false" outlineLevel="0" collapsed="false">
      <c r="A10" s="10"/>
      <c r="B10" s="11"/>
      <c r="C10" s="10"/>
      <c r="D10" s="10"/>
      <c r="E10" s="10"/>
      <c r="F10" s="10"/>
      <c r="G10" s="10"/>
      <c r="H10" s="11"/>
      <c r="I10" s="10"/>
      <c r="J10" s="10"/>
    </row>
    <row r="11" customFormat="false" ht="15" hidden="false" customHeight="false" outlineLevel="0" collapsed="false">
      <c r="A11" s="10"/>
      <c r="B11" s="11"/>
      <c r="C11" s="10"/>
      <c r="D11" s="10"/>
      <c r="E11" s="10"/>
      <c r="F11" s="10"/>
      <c r="G11" s="10"/>
      <c r="H11" s="11"/>
      <c r="I11" s="10"/>
      <c r="J11" s="10"/>
    </row>
    <row r="12" customFormat="false" ht="15" hidden="false" customHeight="false" outlineLevel="0" collapsed="false">
      <c r="A12" s="10"/>
      <c r="B12" s="11"/>
      <c r="C12" s="10"/>
      <c r="D12" s="10"/>
      <c r="E12" s="10"/>
      <c r="F12" s="10"/>
      <c r="G12" s="10"/>
      <c r="H12" s="11"/>
      <c r="I12" s="10"/>
      <c r="J12" s="10"/>
    </row>
    <row r="13" customFormat="false" ht="15" hidden="false" customHeight="false" outlineLevel="0" collapsed="false">
      <c r="A13" s="10"/>
      <c r="B13" s="11"/>
      <c r="C13" s="10"/>
      <c r="D13" s="10"/>
      <c r="E13" s="10"/>
      <c r="F13" s="10"/>
      <c r="G13" s="10"/>
      <c r="H13" s="11"/>
      <c r="I13" s="10"/>
      <c r="J13" s="10"/>
    </row>
    <row r="14" customFormat="false" ht="15" hidden="false" customHeight="false" outlineLevel="0" collapsed="false">
      <c r="A14" s="10"/>
      <c r="B14" s="11"/>
      <c r="C14" s="10"/>
      <c r="D14" s="10"/>
      <c r="E14" s="10"/>
      <c r="F14" s="10"/>
      <c r="G14" s="10"/>
      <c r="H14" s="11"/>
      <c r="I14" s="10"/>
      <c r="J14" s="10"/>
    </row>
    <row r="15" customFormat="false" ht="15" hidden="false" customHeight="false" outlineLevel="0" collapsed="false">
      <c r="A15" s="10"/>
      <c r="B15" s="11"/>
      <c r="C15" s="10"/>
      <c r="D15" s="10"/>
      <c r="E15" s="10"/>
      <c r="F15" s="10"/>
      <c r="G15" s="10"/>
      <c r="H15" s="11"/>
      <c r="I15" s="10"/>
      <c r="J15" s="10"/>
    </row>
    <row r="16" customFormat="false" ht="15" hidden="false" customHeight="false" outlineLevel="0" collapsed="false">
      <c r="A16" s="10"/>
      <c r="B16" s="11"/>
      <c r="C16" s="10"/>
      <c r="D16" s="10"/>
      <c r="E16" s="10"/>
      <c r="F16" s="10"/>
      <c r="G16" s="10"/>
      <c r="H16" s="11"/>
      <c r="I16" s="10"/>
      <c r="J16" s="10"/>
    </row>
    <row r="17" customFormat="false" ht="15" hidden="false" customHeight="false" outlineLevel="0" collapsed="false">
      <c r="A17" s="10"/>
      <c r="B17" s="11"/>
      <c r="C17" s="10"/>
      <c r="D17" s="10"/>
      <c r="E17" s="10"/>
      <c r="F17" s="10"/>
      <c r="G17" s="10"/>
      <c r="H17" s="11"/>
      <c r="I17" s="10"/>
      <c r="J17" s="10"/>
    </row>
    <row r="18" customFormat="false" ht="15" hidden="false" customHeight="false" outlineLevel="0" collapsed="false">
      <c r="A18" s="10"/>
      <c r="B18" s="11"/>
      <c r="C18" s="10"/>
      <c r="D18" s="10"/>
      <c r="E18" s="10"/>
      <c r="F18" s="10"/>
      <c r="G18" s="10"/>
      <c r="H18" s="11"/>
      <c r="I18" s="10"/>
      <c r="J18" s="10"/>
    </row>
    <row r="19" customFormat="false" ht="15" hidden="false" customHeight="false" outlineLevel="0" collapsed="false">
      <c r="A19" s="10"/>
      <c r="B19" s="11"/>
      <c r="C19" s="10"/>
      <c r="D19" s="10"/>
      <c r="E19" s="10"/>
      <c r="F19" s="10"/>
      <c r="G19" s="10"/>
      <c r="H19" s="11"/>
      <c r="I19" s="10"/>
      <c r="J19" s="10"/>
    </row>
    <row r="20" customFormat="false" ht="15" hidden="false" customHeight="false" outlineLevel="0" collapsed="false">
      <c r="A20" s="10"/>
      <c r="B20" s="11"/>
      <c r="C20" s="10"/>
      <c r="D20" s="10"/>
      <c r="E20" s="10"/>
      <c r="F20" s="10"/>
      <c r="G20" s="10"/>
      <c r="H20" s="11"/>
      <c r="I20" s="10"/>
      <c r="J20" s="10"/>
    </row>
    <row r="21" customFormat="false" ht="15" hidden="false" customHeight="false" outlineLevel="0" collapsed="false">
      <c r="A21" s="10"/>
      <c r="B21" s="11"/>
      <c r="C21" s="10"/>
      <c r="D21" s="10"/>
      <c r="E21" s="10"/>
      <c r="F21" s="10"/>
      <c r="G21" s="10"/>
      <c r="H21" s="11"/>
      <c r="I21" s="10"/>
      <c r="J21" s="10"/>
    </row>
    <row r="22" customFormat="false" ht="15" hidden="false" customHeight="false" outlineLevel="0" collapsed="false">
      <c r="A22" s="10"/>
      <c r="B22" s="11"/>
      <c r="C22" s="10"/>
      <c r="D22" s="10"/>
      <c r="E22" s="10"/>
      <c r="F22" s="10"/>
      <c r="G22" s="10"/>
      <c r="H22" s="11"/>
      <c r="I22" s="10"/>
      <c r="J22" s="10"/>
    </row>
    <row r="23" customFormat="false" ht="15" hidden="false" customHeight="false" outlineLevel="0" collapsed="false">
      <c r="A23" s="10"/>
      <c r="B23" s="11"/>
      <c r="C23" s="10"/>
      <c r="D23" s="10"/>
      <c r="E23" s="10"/>
      <c r="F23" s="10"/>
      <c r="G23" s="10"/>
      <c r="H23" s="11"/>
      <c r="I23" s="10"/>
      <c r="J23" s="10"/>
    </row>
    <row r="24" customFormat="false" ht="15" hidden="false" customHeight="false" outlineLevel="0" collapsed="false">
      <c r="A24" s="10"/>
      <c r="B24" s="11"/>
      <c r="C24" s="10"/>
      <c r="D24" s="10"/>
      <c r="E24" s="10"/>
      <c r="F24" s="10"/>
      <c r="G24" s="10"/>
      <c r="H24" s="11"/>
      <c r="I24" s="10"/>
      <c r="J24" s="10"/>
    </row>
    <row r="25" customFormat="false" ht="15" hidden="false" customHeight="false" outlineLevel="0" collapsed="false">
      <c r="A25" s="10"/>
      <c r="B25" s="11"/>
      <c r="C25" s="10"/>
      <c r="D25" s="10"/>
      <c r="E25" s="10"/>
      <c r="F25" s="10"/>
      <c r="G25" s="10"/>
      <c r="H25" s="11"/>
      <c r="I25" s="10"/>
      <c r="J25" s="10"/>
    </row>
    <row r="26" customFormat="false" ht="15" hidden="false" customHeight="false" outlineLevel="0" collapsed="false">
      <c r="A26" s="10"/>
      <c r="B26" s="11"/>
      <c r="C26" s="10"/>
      <c r="D26" s="10"/>
      <c r="E26" s="10"/>
      <c r="F26" s="10"/>
      <c r="G26" s="10"/>
      <c r="H26" s="11"/>
      <c r="I26" s="10"/>
      <c r="J26" s="10"/>
    </row>
    <row r="27" customFormat="false" ht="15" hidden="false" customHeight="false" outlineLevel="0" collapsed="false">
      <c r="A27" s="10"/>
      <c r="B27" s="11"/>
      <c r="C27" s="10"/>
      <c r="D27" s="10"/>
      <c r="E27" s="10"/>
      <c r="F27" s="10"/>
      <c r="G27" s="10"/>
      <c r="H27" s="11"/>
      <c r="I27" s="10"/>
      <c r="J27" s="10"/>
    </row>
    <row r="28" customFormat="false" ht="15" hidden="false" customHeight="false" outlineLevel="0" collapsed="false">
      <c r="A28" s="10"/>
      <c r="B28" s="11"/>
      <c r="C28" s="10"/>
      <c r="D28" s="10"/>
      <c r="E28" s="10"/>
      <c r="F28" s="10"/>
      <c r="G28" s="10"/>
      <c r="H28" s="11"/>
      <c r="I28" s="10"/>
      <c r="J28" s="10"/>
    </row>
    <row r="29" customFormat="false" ht="15" hidden="false" customHeight="false" outlineLevel="0" collapsed="false">
      <c r="B29" s="12"/>
      <c r="H29" s="12"/>
    </row>
    <row r="30" customFormat="false" ht="15" hidden="false" customHeight="false" outlineLevel="0" collapsed="false">
      <c r="A30" s="13" t="s">
        <v>141</v>
      </c>
      <c r="B30" s="12"/>
      <c r="H30" s="12"/>
    </row>
    <row r="31" customFormat="false" ht="15" hidden="false" customHeight="false" outlineLevel="0" collapsed="false">
      <c r="B31" s="12"/>
      <c r="H31" s="12"/>
    </row>
    <row r="32" customFormat="false" ht="15" hidden="false" customHeight="false" outlineLevel="0" collapsed="false">
      <c r="B32" s="12"/>
      <c r="H32" s="12"/>
    </row>
    <row r="33" customFormat="false" ht="15" hidden="false" customHeight="false" outlineLevel="0" collapsed="false">
      <c r="B33" s="12"/>
      <c r="H33" s="12"/>
    </row>
    <row r="34" customFormat="false" ht="15" hidden="false" customHeight="false" outlineLevel="0" collapsed="false">
      <c r="B34" s="12"/>
      <c r="H34" s="12"/>
    </row>
    <row r="35" customFormat="false" ht="15" hidden="false" customHeight="false" outlineLevel="0" collapsed="false">
      <c r="B35" s="12"/>
      <c r="H35" s="12"/>
    </row>
    <row r="36" customFormat="false" ht="15" hidden="false" customHeight="false" outlineLevel="0" collapsed="false">
      <c r="B36" s="12"/>
      <c r="H36" s="12"/>
    </row>
    <row r="37" customFormat="false" ht="15" hidden="false" customHeight="false" outlineLevel="0" collapsed="false">
      <c r="B37" s="12"/>
      <c r="H37" s="12"/>
    </row>
    <row r="38" customFormat="false" ht="15" hidden="false" customHeight="false" outlineLevel="0" collapsed="false">
      <c r="B38" s="12"/>
      <c r="H38" s="12"/>
    </row>
    <row r="39" customFormat="false" ht="15" hidden="false" customHeight="false" outlineLevel="0" collapsed="false">
      <c r="B39" s="12"/>
      <c r="H39" s="12"/>
    </row>
    <row r="40" customFormat="false" ht="15" hidden="false" customHeight="false" outlineLevel="0" collapsed="false">
      <c r="B40" s="12"/>
      <c r="H40" s="12"/>
    </row>
    <row r="41" customFormat="false" ht="15" hidden="false" customHeight="false" outlineLevel="0" collapsed="false">
      <c r="B41" s="12"/>
      <c r="H41" s="12"/>
    </row>
    <row r="42" customFormat="false" ht="15" hidden="false" customHeight="false" outlineLevel="0" collapsed="false">
      <c r="B42" s="12"/>
      <c r="H42" s="12"/>
    </row>
    <row r="43" customFormat="false" ht="15" hidden="false" customHeight="false" outlineLevel="0" collapsed="false">
      <c r="B43" s="12"/>
      <c r="H43" s="12"/>
    </row>
    <row r="44" customFormat="false" ht="15" hidden="false" customHeight="false" outlineLevel="0" collapsed="false">
      <c r="B44" s="12"/>
      <c r="H44" s="12"/>
    </row>
    <row r="45" customFormat="false" ht="15" hidden="false" customHeight="false" outlineLevel="0" collapsed="false">
      <c r="B45" s="12"/>
      <c r="H45" s="12"/>
    </row>
    <row r="46" customFormat="false" ht="15" hidden="false" customHeight="false" outlineLevel="0" collapsed="false">
      <c r="B46" s="12"/>
      <c r="H46" s="12"/>
    </row>
    <row r="47" customFormat="false" ht="15" hidden="false" customHeight="false" outlineLevel="0" collapsed="false">
      <c r="B47" s="12"/>
      <c r="H47" s="12"/>
    </row>
    <row r="48" customFormat="false" ht="15" hidden="false" customHeight="false" outlineLevel="0" collapsed="false">
      <c r="B48" s="12"/>
      <c r="H48" s="12"/>
    </row>
    <row r="49" customFormat="false" ht="15" hidden="false" customHeight="false" outlineLevel="0" collapsed="false">
      <c r="B49" s="12"/>
      <c r="H49" s="12"/>
    </row>
    <row r="50" customFormat="false" ht="15" hidden="false" customHeight="false" outlineLevel="0" collapsed="false">
      <c r="B50" s="12"/>
      <c r="H50" s="12"/>
    </row>
    <row r="51" customFormat="false" ht="15" hidden="false" customHeight="false" outlineLevel="0" collapsed="false">
      <c r="B51" s="12"/>
      <c r="H51" s="12"/>
    </row>
    <row r="52" customFormat="false" ht="15" hidden="false" customHeight="false" outlineLevel="0" collapsed="false">
      <c r="B52" s="12"/>
      <c r="H52" s="12"/>
    </row>
    <row r="53" customFormat="false" ht="15" hidden="false" customHeight="false" outlineLevel="0" collapsed="false">
      <c r="B53" s="12"/>
      <c r="H53" s="12"/>
    </row>
    <row r="54" customFormat="false" ht="15" hidden="false" customHeight="false" outlineLevel="0" collapsed="false">
      <c r="B54" s="12"/>
      <c r="H54" s="12"/>
    </row>
    <row r="55" customFormat="false" ht="15" hidden="false" customHeight="false" outlineLevel="0" collapsed="false">
      <c r="B55" s="12"/>
      <c r="H55" s="12"/>
    </row>
    <row r="56" customFormat="false" ht="15" hidden="false" customHeight="false" outlineLevel="0" collapsed="false">
      <c r="B56" s="12"/>
      <c r="H56" s="12"/>
    </row>
    <row r="57" customFormat="false" ht="15" hidden="false" customHeight="false" outlineLevel="0" collapsed="false">
      <c r="B57" s="12"/>
      <c r="H57" s="12"/>
    </row>
    <row r="58" customFormat="false" ht="15" hidden="false" customHeight="false" outlineLevel="0" collapsed="false">
      <c r="B58" s="12"/>
      <c r="H58" s="12"/>
    </row>
    <row r="59" customFormat="false" ht="15" hidden="false" customHeight="false" outlineLevel="0" collapsed="false">
      <c r="B59" s="12"/>
      <c r="H59" s="12"/>
    </row>
  </sheetData>
  <dataValidations count="1">
    <dataValidation allowBlank="true" errorStyle="stop" operator="between" showDropDown="false" showErrorMessage="false" showInputMessage="false" sqref="E2:E60" type="list">
      <formula1>"Consented,Consented with changes,Deferred,Withdrawn"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50"/>
  </cols>
  <sheetData>
    <row r="1" customFormat="false" ht="16.15" hidden="false" customHeight="false" outlineLevel="0" collapsed="false">
      <c r="A1" s="14" t="s">
        <v>142</v>
      </c>
    </row>
    <row r="2" customFormat="false" ht="15" hidden="false" customHeight="false" outlineLevel="0" collapsed="false">
      <c r="A2" s="13" t="s">
        <v>143</v>
      </c>
    </row>
    <row r="4" customFormat="false" ht="15" hidden="false" customHeight="false" outlineLevel="0" collapsed="false">
      <c r="A4" s="15" t="s">
        <v>144</v>
      </c>
    </row>
    <row r="5" customFormat="false" ht="15" hidden="false" customHeight="false" outlineLevel="0" collapsed="false">
      <c r="A5" s="16" t="s">
        <v>98</v>
      </c>
      <c r="B5" s="16" t="s">
        <v>145</v>
      </c>
      <c r="C5" s="16" t="s">
        <v>146</v>
      </c>
      <c r="D5" s="16" t="s">
        <v>147</v>
      </c>
    </row>
    <row r="6" customFormat="false" ht="15" hidden="false" customHeight="false" outlineLevel="0" collapsed="false">
      <c r="A6" s="17" t="s">
        <v>113</v>
      </c>
      <c r="B6" s="18" t="n">
        <f aca="false">COUNTIF(Ladder!$C$2:$C$60,$A6)</f>
        <v>1</v>
      </c>
      <c r="C6" s="19" t="n">
        <f aca="false">IFERROR($B6/$B$11,0)</f>
        <v>0.25</v>
      </c>
      <c r="D6" s="20" t="s">
        <v>148</v>
      </c>
    </row>
    <row r="7" customFormat="false" ht="15" hidden="false" customHeight="false" outlineLevel="0" collapsed="false">
      <c r="A7" s="21" t="s">
        <v>111</v>
      </c>
      <c r="B7" s="22" t="n">
        <f aca="false">COUNTIF(Ladder!$C$2:$C$60,$A7)</f>
        <v>1</v>
      </c>
      <c r="C7" s="23" t="n">
        <f aca="false">IFERROR($B7/$B$11,0)</f>
        <v>0.25</v>
      </c>
      <c r="D7" s="24" t="s">
        <v>149</v>
      </c>
    </row>
    <row r="8" customFormat="false" ht="15" hidden="false" customHeight="false" outlineLevel="0" collapsed="false">
      <c r="A8" s="17" t="s">
        <v>108</v>
      </c>
      <c r="B8" s="18" t="n">
        <f aca="false">COUNTIF(Ladder!$C$2:$C$60,$A8)</f>
        <v>1</v>
      </c>
      <c r="C8" s="19" t="n">
        <f aca="false">IFERROR($B8/$B$11,0)</f>
        <v>0.25</v>
      </c>
      <c r="D8" s="20" t="s">
        <v>150</v>
      </c>
    </row>
    <row r="9" customFormat="false" ht="15" hidden="false" customHeight="false" outlineLevel="0" collapsed="false">
      <c r="A9" s="21" t="s">
        <v>105</v>
      </c>
      <c r="B9" s="22" t="n">
        <f aca="false">COUNTIF(Ladder!$C$2:$C$60,$A9)</f>
        <v>1</v>
      </c>
      <c r="C9" s="23" t="n">
        <f aca="false">IFERROR($B9/$B$11,0)</f>
        <v>0.25</v>
      </c>
      <c r="D9" s="24" t="s">
        <v>151</v>
      </c>
    </row>
    <row r="10" customFormat="false" ht="15" hidden="false" customHeight="false" outlineLevel="0" collapsed="false">
      <c r="A10" s="17" t="s">
        <v>152</v>
      </c>
      <c r="B10" s="18" t="n">
        <f aca="false">COUNTIF(Ladder!$C$2:$C$60,$A10)</f>
        <v>0</v>
      </c>
      <c r="C10" s="19" t="n">
        <f aca="false">IFERROR($B10/$B$11,0)</f>
        <v>0</v>
      </c>
      <c r="D10" s="20" t="s">
        <v>153</v>
      </c>
    </row>
    <row r="11" customFormat="false" ht="22.05" hidden="false" customHeight="false" outlineLevel="0" collapsed="false">
      <c r="A11" s="15" t="s">
        <v>154</v>
      </c>
      <c r="B11" s="25" t="n">
        <f aca="false">SUM($B$6:$B$10)</f>
        <v>4</v>
      </c>
    </row>
    <row r="13" customFormat="false" ht="15" hidden="false" customHeight="false" outlineLevel="0" collapsed="false">
      <c r="A13" s="15" t="s">
        <v>155</v>
      </c>
    </row>
    <row r="14" customFormat="false" ht="15" hidden="false" customHeight="false" outlineLevel="0" collapsed="false">
      <c r="A14" s="17" t="s">
        <v>156</v>
      </c>
      <c r="B14" s="26" t="n">
        <f aca="false">COUNTIF(Ladder!$D$2:$D$60,"&gt;=3")</f>
        <v>2</v>
      </c>
      <c r="C14" s="27"/>
      <c r="D14" s="20" t="s">
        <v>157</v>
      </c>
    </row>
    <row r="15" customFormat="false" ht="15" hidden="false" customHeight="false" outlineLevel="0" collapsed="false">
      <c r="A15" s="21" t="s">
        <v>158</v>
      </c>
      <c r="B15" s="23" t="n">
        <f aca="false">IFERROR(COUNTIF(Ladder!$D$2:$D$60,"&gt;=3")/$B$11,0)</f>
        <v>0.5</v>
      </c>
      <c r="C15" s="28"/>
      <c r="D15" s="24" t="s">
        <v>159</v>
      </c>
    </row>
    <row r="16" customFormat="false" ht="15" hidden="false" customHeight="false" outlineLevel="0" collapsed="false">
      <c r="A16" s="17" t="s">
        <v>160</v>
      </c>
      <c r="B16" s="26" t="n">
        <f aca="false">SUM(Ladder!$H$2:$H$60)</f>
        <v>2</v>
      </c>
      <c r="C16" s="27"/>
      <c r="D16" s="20" t="s">
        <v>161</v>
      </c>
    </row>
    <row r="17" customFormat="false" ht="15" hidden="false" customHeight="false" outlineLevel="0" collapsed="false">
      <c r="A17" s="21" t="s">
        <v>162</v>
      </c>
      <c r="B17" s="29" t="n">
        <f aca="false">COUNTIF(Units!$H$2:$H$60,"In person")</f>
        <v>2</v>
      </c>
      <c r="C17" s="28"/>
      <c r="D17" s="24" t="s">
        <v>163</v>
      </c>
    </row>
    <row r="18" customFormat="false" ht="15" hidden="false" customHeight="false" outlineLevel="0" collapsed="false">
      <c r="A18" s="17" t="s">
        <v>164</v>
      </c>
      <c r="B18" s="26" t="n">
        <f aca="false">COUNTIF(Constraints!$H$2:$H$60,"Open")</f>
        <v>4</v>
      </c>
      <c r="C18" s="27"/>
      <c r="D18" s="20" t="s">
        <v>165</v>
      </c>
    </row>
    <row r="19" customFormat="false" ht="15" hidden="false" customHeight="false" outlineLevel="0" collapsed="false">
      <c r="A19" s="21" t="s">
        <v>166</v>
      </c>
      <c r="B19" s="29" t="n">
        <f aca="false">COUNTIF(Constraints!$H$2:$H$60,"Softened")+COUNTIF(Constraints!$H$2:$H$60,"Resolved")</f>
        <v>1</v>
      </c>
      <c r="C19" s="28"/>
      <c r="D19" s="24" t="s">
        <v>167</v>
      </c>
    </row>
    <row r="20" customFormat="false" ht="15" hidden="false" customHeight="false" outlineLevel="0" collapsed="false">
      <c r="A20" s="17" t="s">
        <v>168</v>
      </c>
      <c r="B20" s="26" t="n">
        <f aca="false">COUNTIF(Decisions!$E$2:$E$60,"Consented")+COUNTIF(Decisions!$E$2:$E$60,"Consented with changes")</f>
        <v>1</v>
      </c>
      <c r="C20" s="27"/>
      <c r="D20" s="20" t="s">
        <v>169</v>
      </c>
    </row>
    <row r="21" customFormat="false" ht="15" hidden="false" customHeight="false" outlineLevel="0" collapsed="false">
      <c r="A21" s="21" t="s">
        <v>170</v>
      </c>
      <c r="B21" s="29" t="n">
        <f aca="false">COUNTIF(Decisions!$E$2:$E$60,"Deferred")</f>
        <v>1</v>
      </c>
      <c r="C21" s="28"/>
      <c r="D21" s="24" t="s">
        <v>171</v>
      </c>
    </row>
    <row r="23" customFormat="false" ht="15" hidden="false" customHeight="false" outlineLevel="0" collapsed="false">
      <c r="A23" s="13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2026-08-09T14:27:12Z</dcterms:created>
  <dc:creator>openpyxl</dc:creator>
  <dc:description/>
  <dc:language>en-US</dc:language>
  <cp:lastModifiedBy/>
  <dcterms:modified xsi:type="dcterms:W3CDTF">2026-08-09T14:27:12Z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
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Candidates" sheetId="3" state="visible" r:id="rId3"/>
    <sheet xmlns:r="http://schemas.openxmlformats.org/officeDocument/2006/relationships" name="Principles" sheetId="4" state="visible" r:id="rId4"/>
    <sheet xmlns:r="http://schemas.openxmlformats.org/officeDocument/2006/relationships" name="Citations" sheetId="5" state="visible" r:id="rId5"/>
    <sheet xmlns:r="http://schemas.openxmlformats.org/officeDocument/2006/relationships" name="Exceptions" sheetId="6" state="visible" r:id="rId6"/>
    <sheet xmlns:r="http://schemas.openxmlformats.org/officeDocument/2006/relationships" name="Health" sheetId="7" state="visible" r:id="rId7"/>
  </sheets>
  <definedNames>
    <definedName name="_xlnm._FilterDatabase" localSheetId="2" hidden="1">'Candidates'!$A$1:$J$41</definedName>
    <definedName name="_xlnm._FilterDatabase" localSheetId="4" hidden="1">'Citations'!$A$1:$F$201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i val="1"/>
      <color rgb="FF7D766E"/>
      <sz val="9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4606B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E4E0D7"/>
      </left>
      <right style="thin">
        <color rgb="FFE4E0D7"/>
      </right>
      <top style="thin">
        <color rgb="FFE4E0D7"/>
      </top>
      <bottom style="thin">
        <color rgb="FFE4E0D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FFE3EFE7"/>
        </patternFill>
      </fill>
    </dxf>
    <dxf>
      <fill>
        <patternFill patternType="solid">
          <fgColor rgb="FFF2E4E0"/>
        </patternFill>
      </fill>
    </dxf>
    <dxf>
      <fill>
        <patternFill patternType="solid">
          <fgColor rgb="FFF5EC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Architecture principle register</t>
        </is>
      </c>
    </row>
    <row r="2">
      <c r="A2" s="2" t="inlineStr">
        <is>
          <t>Five sheets. The register holds the set with its implications and exception routes; the candidates sheet is where derivation happens; citations and exceptions are what prove the set is real; the health sheet tells you which principles have stopped working.</t>
        </is>
      </c>
    </row>
    <row r="3">
      <c r="A3" s="2" t="inlineStr"/>
    </row>
    <row r="4">
      <c r="A4" s="3" t="inlineStr">
        <is>
          <t>The sheets</t>
        </is>
      </c>
    </row>
    <row r="5">
      <c r="A5" s="2" t="inlineStr">
        <is>
          <t>Candidates - the desk-pass output. Source, draft statement, and the five tests. A candidate that fails the first test is deleted, not reworded.</t>
        </is>
      </c>
    </row>
    <row r="6">
      <c r="A6" s="2" t="inlineStr">
        <is>
          <t>Principles - the adopted set. Five to seven rows, each with the seven parts, an owner, and a review date.</t>
        </is>
      </c>
    </row>
    <row r="7">
      <c r="A7" s="2" t="inlineStr">
        <is>
          <t>Citations - every decision record that cited a principle. This sheet is the evidence that the set is being used.</t>
        </is>
      </c>
    </row>
    <row r="8">
      <c r="A8" s="2" t="inlineStr">
        <is>
          <t>Exceptions - registered deviations with expiry. A principle whose violations are recorded is a principle that is working.</t>
        </is>
      </c>
    </row>
    <row r="9">
      <c r="A9" s="2" t="inlineStr">
        <is>
          <t>Health - computed per principle: citations, exceptions, and the verdict.</t>
        </is>
      </c>
    </row>
    <row r="10">
      <c r="A10" s="2" t="inlineStr"/>
    </row>
    <row r="11">
      <c r="A11" s="3" t="inlineStr">
        <is>
          <t>The falsifiability test</t>
        </is>
      </c>
    </row>
    <row r="12">
      <c r="A12" s="2" t="inlineStr">
        <is>
          <t>Name a real decision from the last year where this principle would have forced the less comfortable option. If you cannot, delete it - not because the sentiment is wrong, but because the sentiment is already shared, and shared sentiments do not need governance.</t>
        </is>
      </c>
    </row>
    <row r="13">
      <c r="A13" s="2" t="inlineStr">
        <is>
          <t>A second test: does the opposite sound insane, or merely different? 'We prefer secure systems' fails; the opposite is absurd. 'We buy with configuration over building, even where building would fit better' passes, because plenty of good organizations do the opposite deliberately.</t>
        </is>
      </c>
    </row>
    <row r="14">
      <c r="A14" s="2" t="inlineStr"/>
    </row>
    <row r="15">
      <c r="A15" s="3" t="inlineStr">
        <is>
          <t>Two decay patterns to watch at the annual review</t>
        </is>
      </c>
    </row>
    <row r="16">
      <c r="A16" s="2" t="inlineStr">
        <is>
          <t>Inflation - principles quietly acquiring sub-clauses until they read like standards. Cut back to one line, move the detail to a standard.</t>
        </is>
      </c>
    </row>
    <row r="17">
      <c r="A17" s="2" t="inlineStr">
        <is>
          <t>Drift into virtue - someone softens 'standard processes over local optimization' into 'we value standardization and local responsiveness', and the trade-off, which is the entire content, is gone.</t>
        </is>
      </c>
    </row>
    <row r="18">
      <c r="A18" s="2" t="inlineStr"/>
    </row>
    <row r="19">
      <c r="A19" s="2" t="inlineStr">
        <is>
          <t>A principle can win. When the behaviour it was correcting has become normal, retiring it is not defeat - it is the point.</t>
        </is>
      </c>
    </row>
    <row r="20">
      <c r="A20" s="2" t="inlineStr"/>
    </row>
    <row r="21">
      <c r="A21" s="4" t="inlineStr">
        <is>
          <t>Yellow cells are yours to fill. Everything else computes.</t>
        </is>
      </c>
    </row>
    <row r="22">
      <c r="A22" s="4" t="inlineStr">
        <is>
          <t>Companion article: mehdibamou.com/publications/architecture-principles - free to use and adapt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5" t="inlineStr">
        <is>
          <t>Strategy</t>
        </is>
      </c>
      <c r="B1" s="5" t="inlineStr">
        <is>
          <t>Candidate</t>
        </is>
      </c>
      <c r="C1" s="5" t="inlineStr">
        <is>
          <t>Pass</t>
        </is>
      </c>
      <c r="D1" s="5" t="inlineStr">
        <is>
          <t>Applying</t>
        </is>
      </c>
      <c r="E1" s="5" t="inlineStr">
        <is>
          <t>Open</t>
        </is>
      </c>
    </row>
    <row r="2">
      <c r="A2" s="5" t="inlineStr">
        <is>
          <t>Decision log</t>
        </is>
      </c>
      <c r="B2" s="5" t="inlineStr">
        <is>
          <t>Adopted</t>
        </is>
      </c>
      <c r="C2" s="5" t="inlineStr">
        <is>
          <t>Fail</t>
        </is>
      </c>
      <c r="D2" s="5" t="inlineStr">
        <is>
          <t>Exception</t>
        </is>
      </c>
      <c r="E2" s="5" t="inlineStr">
        <is>
          <t>Closed</t>
        </is>
      </c>
    </row>
    <row r="3">
      <c r="A3" s="5" t="inlineStr">
        <is>
          <t>Incidents</t>
        </is>
      </c>
      <c r="B3" s="5" t="inlineStr">
        <is>
          <t>Rejected</t>
        </is>
      </c>
      <c r="E3" s="5" t="inlineStr">
        <is>
          <t>Extended</t>
        </is>
      </c>
    </row>
    <row r="4">
      <c r="A4" s="5" t="inlineStr">
        <is>
          <t>Constraints</t>
        </is>
      </c>
      <c r="B4" s="5" t="inlineStr">
        <is>
          <t>Retired</t>
        </is>
      </c>
      <c r="E4" s="5" t="inlineStr">
        <is>
          <t>Promoted to standard</t>
        </is>
      </c>
    </row>
    <row r="5">
      <c r="A5" s="5" t="inlineStr">
        <is>
          <t>What we are bad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4" customWidth="1" min="3" max="3"/>
    <col width="42" customWidth="1" min="4" max="4"/>
    <col width="44" customWidth="1" min="5" max="5"/>
    <col width="16" customWidth="1" min="6" max="6"/>
    <col width="24" customWidth="1" min="7" max="7"/>
    <col width="32" customWidth="1" min="8" max="8"/>
    <col width="14" customWidth="1" min="9" max="9"/>
    <col width="12" customWidth="1" min="10" max="10"/>
  </cols>
  <sheetData>
    <row r="1">
      <c r="A1" s="6" t="inlineStr">
        <is>
          <t>#</t>
        </is>
      </c>
      <c r="B1" s="6" t="inlineStr">
        <is>
          <t>Source</t>
        </is>
      </c>
      <c r="C1" s="6" t="inlineStr">
        <is>
          <t>Evidence (the specific thing)</t>
        </is>
      </c>
      <c r="D1" s="6" t="inlineStr">
        <is>
          <t>Draft statement (X over Y)</t>
        </is>
      </c>
      <c r="E1" s="6" t="inlineStr">
        <is>
          <t>Test 1 - decision it would have reversed</t>
        </is>
      </c>
      <c r="F1" s="6" t="inlineStr">
        <is>
          <t>Test 2 - opposite merely different?</t>
        </is>
      </c>
      <c r="G1" s="6" t="inlineStr">
        <is>
          <t>Test 3 - who loses</t>
        </is>
      </c>
      <c r="H1" s="6" t="inlineStr">
        <is>
          <t>Test 4 - cost accepted</t>
        </is>
      </c>
      <c r="I1" s="6" t="inlineStr">
        <is>
          <t>Test 5 - recallable</t>
        </is>
      </c>
      <c r="J1" s="6" t="inlineStr">
        <is>
          <t>Verdict</t>
        </is>
      </c>
    </row>
    <row r="2">
      <c r="A2" s="7" t="n">
        <v>1</v>
      </c>
      <c r="B2" s="7" t="inlineStr">
        <is>
          <t>Decision log</t>
        </is>
      </c>
      <c r="C2" s="7" t="inlineStr">
        <is>
          <t>Three separate arguments about copying data into a reporting store, resolved differently each time</t>
        </is>
      </c>
      <c r="D2" s="7" t="inlineStr">
        <is>
          <t>One system of record per object, even when a second copy would ship faster</t>
        </is>
      </c>
      <c r="E2" s="7" t="inlineStr">
        <is>
          <t>The Q2 reporting cache, approved in March, which caused two of last year's data incidents</t>
        </is>
      </c>
      <c r="F2" s="7" t="inlineStr">
        <is>
          <t>Pass</t>
        </is>
      </c>
      <c r="G2" s="7" t="inlineStr">
        <is>
          <t>The delivery team that wanted the campaign live three weeks earlier</t>
        </is>
      </c>
      <c r="H2" s="7" t="inlineStr">
        <is>
          <t>Some projects wait for the owning system to expose what they need</t>
        </is>
      </c>
      <c r="I2" s="7" t="inlineStr">
        <is>
          <t>Pass</t>
        </is>
      </c>
      <c r="J2" s="7" t="inlineStr">
        <is>
          <t>Adopted</t>
        </is>
      </c>
    </row>
    <row r="3">
      <c r="A3" s="7" t="n">
        <v>2</v>
      </c>
      <c r="B3" s="7" t="inlineStr">
        <is>
          <t>Strategy</t>
        </is>
      </c>
      <c r="C3" s="7" t="inlineStr">
        <is>
          <t>Board commitment to grow by acquisition, two units a year</t>
        </is>
      </c>
      <c r="D3" s="7" t="inlineStr">
        <is>
          <t>Absorbability over elegance in shared capabilities</t>
        </is>
      </c>
      <c r="E3" s="7" t="inlineStr">
        <is>
          <t>The identity redesign that assumed one directory forever</t>
        </is>
      </c>
      <c r="F3" s="7" t="inlineStr">
        <is>
          <t>Pass</t>
        </is>
      </c>
      <c r="G3" s="7" t="inlineStr">
        <is>
          <t>Platform teams, who carry an extra seam</t>
        </is>
      </c>
      <c r="H3" s="7" t="inlineStr">
        <is>
          <t>Shared services carry configuration they would rather not have</t>
        </is>
      </c>
      <c r="I3" s="7" t="inlineStr">
        <is>
          <t>Pass</t>
        </is>
      </c>
      <c r="J3" s="7" t="inlineStr">
        <is>
          <t>Adopted</t>
        </is>
      </c>
    </row>
    <row r="4">
      <c r="A4" s="7" t="n">
        <v>3</v>
      </c>
      <c r="B4" s="7" t="inlineStr">
        <is>
          <t>Incidents</t>
        </is>
      </c>
      <c r="C4" s="7" t="inlineStr">
        <is>
          <t>Four of last year's six incidents traced to changes that could not be reversed quickly</t>
        </is>
      </c>
      <c r="D4" s="7" t="inlineStr">
        <is>
          <t>Reversibility over efficiency</t>
        </is>
      </c>
      <c r="E4" s="7" t="inlineStr">
        <is>
          <t>The batch migration cutover with no rollback path, approved last September</t>
        </is>
      </c>
      <c r="F4" s="7" t="inlineStr">
        <is>
          <t>Pass</t>
        </is>
      </c>
      <c r="G4" s="7" t="inlineStr">
        <is>
          <t>Anyone shipping the fastest version of a change</t>
        </is>
      </c>
      <c r="H4" s="7" t="inlineStr">
        <is>
          <t>Some designs cost 15 to 20 per cent more to build</t>
        </is>
      </c>
      <c r="I4" s="7" t="inlineStr">
        <is>
          <t>Pass</t>
        </is>
      </c>
      <c r="J4" s="7" t="inlineStr">
        <is>
          <t>Adopted</t>
        </is>
      </c>
    </row>
    <row r="5">
      <c r="A5" s="7" t="n">
        <v>4</v>
      </c>
      <c r="B5" s="7" t="inlineStr">
        <is>
          <t>What we are bad at</t>
        </is>
      </c>
      <c r="C5" s="7" t="inlineStr">
        <is>
          <t>Run cost never estimated at design time; two platforms now cost more to operate than to have built</t>
        </is>
      </c>
      <c r="D5" s="7" t="inlineStr">
        <is>
          <t>Run cost named at design time over speed to first demo</t>
        </is>
      </c>
      <c r="E5" s="7" t="inlineStr">
        <is>
          <t>The analytics platform approved in January with no operating estimate</t>
        </is>
      </c>
      <c r="F5" s="7" t="inlineStr">
        <is>
          <t>Pass</t>
        </is>
      </c>
      <c r="G5" s="7" t="inlineStr">
        <is>
          <t>Project teams under a demo deadline</t>
        </is>
      </c>
      <c r="H5" s="7" t="inlineStr">
        <is>
          <t>A week of design time added to most builds</t>
        </is>
      </c>
      <c r="I5" s="7" t="inlineStr">
        <is>
          <t>Pass</t>
        </is>
      </c>
      <c r="J5" s="7" t="inlineStr">
        <is>
          <t>Adopted</t>
        </is>
      </c>
    </row>
    <row r="6">
      <c r="A6" s="7" t="n">
        <v>5</v>
      </c>
      <c r="B6" s="7" t="inlineStr">
        <is>
          <t>Constraints</t>
        </is>
      </c>
      <c r="C6" s="7" t="inlineStr">
        <is>
          <t>Regulator requires reconstruction of any figure within ten working days</t>
        </is>
      </c>
      <c r="D6" s="7" t="inlineStr">
        <is>
          <t>Traceable over convenient</t>
        </is>
      </c>
      <c r="E6" s="7" t="inlineStr">
        <is>
          <t>The direct-write integration built in April, which has no audit record</t>
        </is>
      </c>
      <c r="F6" s="7" t="inlineStr">
        <is>
          <t>Pass</t>
        </is>
      </c>
      <c r="G6" s="7" t="inlineStr">
        <is>
          <t>Integration teams, on every small internal flow</t>
        </is>
      </c>
      <c r="H6" s="7" t="inlineStr">
        <is>
          <t>Logging is not optional even where it feels disproportionate</t>
        </is>
      </c>
      <c r="I6" s="7" t="inlineStr">
        <is>
          <t>Pass</t>
        </is>
      </c>
      <c r="J6" s="7" t="inlineStr">
        <is>
          <t>Adopted</t>
        </is>
      </c>
    </row>
    <row r="7">
      <c r="A7" s="7" t="n">
        <v>6</v>
      </c>
      <c r="B7" s="7" t="inlineStr">
        <is>
          <t>Strategy</t>
        </is>
      </c>
      <c r="C7" s="7" t="inlineStr">
        <is>
          <t>Statement that technology should be fit for purpose</t>
        </is>
      </c>
      <c r="D7" s="7" t="inlineStr">
        <is>
          <t>Fit-for-purpose technology</t>
        </is>
      </c>
      <c r="E7" s="7" t="inlineStr">
        <is>
          <t>Nothing - no decision would have gone differently</t>
        </is>
      </c>
      <c r="F7" s="7" t="inlineStr">
        <is>
          <t>Fail</t>
        </is>
      </c>
      <c r="G7" s="7" t="inlineStr">
        <is>
          <t>Nobody</t>
        </is>
      </c>
      <c r="H7" s="7" t="inlineStr">
        <is>
          <t>None nameable</t>
        </is>
      </c>
      <c r="I7" s="7" t="inlineStr">
        <is>
          <t>Pass</t>
        </is>
      </c>
      <c r="J7" s="7" t="inlineStr">
        <is>
          <t>Rejected</t>
        </is>
      </c>
    </row>
    <row r="8">
      <c r="A8" s="7" t="n">
        <v>7</v>
      </c>
      <c r="B8" s="7" t="inlineStr">
        <is>
          <t>Decision log</t>
        </is>
      </c>
      <c r="C8" s="7" t="inlineStr">
        <is>
          <t>Recurring debate about build versus buy in the domain teams</t>
        </is>
      </c>
      <c r="D8" s="7" t="inlineStr">
        <is>
          <t>Configuration over build, even where building would fit better</t>
        </is>
      </c>
      <c r="E8" s="7" t="inlineStr">
        <is>
          <t>The workflow tool built in-house in Q3 rather than configured</t>
        </is>
      </c>
      <c r="F8" s="7" t="inlineStr">
        <is>
          <t>Pass</t>
        </is>
      </c>
      <c r="G8" s="7" t="inlineStr">
        <is>
          <t>Engineering teams who prefer to build</t>
        </is>
      </c>
      <c r="H8" s="7" t="inlineStr">
        <is>
          <t>We accept a worse fit in exchange for a supported product</t>
        </is>
      </c>
      <c r="I8" s="7" t="inlineStr">
        <is>
          <t>Pass</t>
        </is>
      </c>
      <c r="J8" s="7" t="inlineStr">
        <is>
          <t>Adopted</t>
        </is>
      </c>
    </row>
    <row r="9">
      <c r="A9" s="7" t="n">
        <v>8</v>
      </c>
      <c r="B9" s="7" t="inlineStr">
        <is>
          <t>Incidents</t>
        </is>
      </c>
      <c r="C9" s="7" t="inlineStr">
        <is>
          <t>Data is an asset - inherited from the previous framework set</t>
        </is>
      </c>
      <c r="D9" s="7" t="inlineStr">
        <is>
          <t>Data is an asset</t>
        </is>
      </c>
      <c r="E9" s="7" t="inlineStr">
        <is>
          <t>None that can be named</t>
        </is>
      </c>
      <c r="F9" s="7" t="inlineStr">
        <is>
          <t>Fail</t>
        </is>
      </c>
      <c r="G9" s="7" t="inlineStr">
        <is>
          <t>Nobody, ever</t>
        </is>
      </c>
      <c r="H9" s="7" t="inlineStr">
        <is>
          <t>None</t>
        </is>
      </c>
      <c r="I9" s="7" t="inlineStr">
        <is>
          <t>Pass</t>
        </is>
      </c>
      <c r="J9" s="7" t="inlineStr">
        <is>
          <t>Rejected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</sheetData>
  <autoFilter ref="A1:J41"/>
  <conditionalFormatting sqref="J2:J41">
    <cfRule type="cellIs" priority="1" operator="equal" dxfId="0">
      <formula>"Adopted"</formula>
    </cfRule>
    <cfRule type="cellIs" priority="2" operator="equal" dxfId="1">
      <formula>"Rejected"</formula>
    </cfRule>
  </conditionalFormatting>
  <dataValidations count="4">
    <dataValidation sqref="B2:B41" showDropDown="0" showInputMessage="0" showErrorMessage="0" allowBlank="1" type="list">
      <formula1>=Lists!$A$1:$A$5</formula1>
    </dataValidation>
    <dataValidation sqref="F2:F41" showDropDown="0" showInputMessage="0" showErrorMessage="0" allowBlank="1" type="list">
      <formula1>=Lists!$C$1:$C$2</formula1>
    </dataValidation>
    <dataValidation sqref="I2:I41" showDropDown="0" showInputMessage="0" showErrorMessage="0" allowBlank="1" type="list">
      <formula1>=Lists!$C$1:$C$2</formula1>
    </dataValidation>
    <dataValidation sqref="J2:J41" showDropDown="0" showInputMessage="0" showErrorMessage="0" allowBlank="1" type="list">
      <formula1>=Lists!$B$1:$B$4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8" customWidth="1" min="3" max="3"/>
    <col width="46" customWidth="1" min="4" max="4"/>
    <col width="44" customWidth="1" min="5" max="5"/>
    <col width="34" customWidth="1" min="6" max="6"/>
    <col width="14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ID</t>
        </is>
      </c>
      <c r="B1" s="6" t="inlineStr">
        <is>
          <t>Statement (X over Y)</t>
        </is>
      </c>
      <c r="C1" s="6" t="inlineStr">
        <is>
          <t>Rationale - for this organization</t>
        </is>
      </c>
      <c r="D1" s="6" t="inlineStr">
        <is>
          <t>Implications (the cost we accept)</t>
        </is>
      </c>
      <c r="E1" s="6" t="inlineStr">
        <is>
          <t>Test (five minutes, by an architect)</t>
        </is>
      </c>
      <c r="F1" s="6" t="inlineStr">
        <is>
          <t>Exception route</t>
        </is>
      </c>
      <c r="G1" s="6" t="inlineStr">
        <is>
          <t>Default expiry</t>
        </is>
      </c>
      <c r="H1" s="6" t="inlineStr">
        <is>
          <t>Owner</t>
        </is>
      </c>
      <c r="I1" s="6" t="inlineStr">
        <is>
          <t>Adopted</t>
        </is>
      </c>
      <c r="J1" s="6" t="inlineStr">
        <is>
          <t>Next review</t>
        </is>
      </c>
      <c r="K1" s="6" t="inlineStr">
        <is>
          <t>Status</t>
        </is>
      </c>
    </row>
    <row r="2" ht="58" customHeight="1">
      <c r="A2" s="7" t="inlineStr">
        <is>
          <t>P-01</t>
        </is>
      </c>
      <c r="B2" s="7" t="inlineStr">
        <is>
          <t>One system of record per object, even when a second copy would ship faster</t>
        </is>
      </c>
      <c r="C2" s="7" t="inlineStr">
        <is>
          <t>Three of last year's four data incidents came from two systems believing they owned the same object</t>
        </is>
      </c>
      <c r="D2" s="7" t="inlineStr">
        <is>
          <t>Some projects wait for the owning system to expose what they need</t>
        </is>
      </c>
      <c r="E2" s="7" t="inlineStr">
        <is>
          <t>Does anything here create or change an object another system masters?</t>
        </is>
      </c>
      <c r="F2" s="7" t="inlineStr">
        <is>
          <t>Read-only cache with a named expiry, registered</t>
        </is>
      </c>
      <c r="G2" s="7" t="inlineStr">
        <is>
          <t>12 months</t>
        </is>
      </c>
      <c r="H2" s="7" t="inlineStr">
        <is>
          <t>Data architect</t>
        </is>
      </c>
      <c r="I2" s="9" t="n">
        <v>45852</v>
      </c>
      <c r="J2" s="9" t="n">
        <v>46217</v>
      </c>
      <c r="K2" s="7" t="inlineStr">
        <is>
          <t>Adopted</t>
        </is>
      </c>
    </row>
    <row r="3" ht="58" customHeight="1">
      <c r="A3" s="7" t="inlineStr">
        <is>
          <t>P-02</t>
        </is>
      </c>
      <c r="B3" s="7" t="inlineStr">
        <is>
          <t>Absorbability over elegance in shared capabilities</t>
        </is>
      </c>
      <c r="C3" s="7" t="inlineStr">
        <is>
          <t>The board has committed to two acquisitions a year; the last integration took five quarters</t>
        </is>
      </c>
      <c r="D3" s="7" t="inlineStr">
        <is>
          <t>Shared services carry configuration seams they would rather not have</t>
        </is>
      </c>
      <c r="E3" s="7" t="inlineStr">
        <is>
          <t>Could an acquired unit be onboarded to this within two quarters, without a redesign?</t>
        </is>
      </c>
      <c r="F3" s="7" t="inlineStr">
        <is>
          <t>Registered deviation with a named sponsor</t>
        </is>
      </c>
      <c r="G3" s="7" t="inlineStr">
        <is>
          <t>12 months</t>
        </is>
      </c>
      <c r="H3" s="7" t="inlineStr">
        <is>
          <t>Domain architect</t>
        </is>
      </c>
      <c r="I3" s="9" t="n">
        <v>45852</v>
      </c>
      <c r="J3" s="9" t="n">
        <v>46217</v>
      </c>
      <c r="K3" s="7" t="inlineStr">
        <is>
          <t>Adopted</t>
        </is>
      </c>
    </row>
    <row r="4" ht="58" customHeight="1">
      <c r="A4" s="7" t="inlineStr">
        <is>
          <t>P-03</t>
        </is>
      </c>
      <c r="B4" s="7" t="inlineStr">
        <is>
          <t>Standard processes over local optimization</t>
        </is>
      </c>
      <c r="C4" s="7" t="inlineStr">
        <is>
          <t>The last two rollouts each cost a quarter to reconcile market variants nobody had asked for in writing</t>
        </is>
      </c>
      <c r="D4" s="7" t="inlineStr">
        <is>
          <t>Some markets run a process measurably worse for them; we fund the difference centrally where it bites hardest</t>
        </is>
      </c>
      <c r="E4" s="7" t="inlineStr">
        <is>
          <t>Does this introduce a variant only one market uses, and is it on the fit-gap list?</t>
        </is>
      </c>
      <c r="F4" s="7" t="inlineStr">
        <is>
          <t>Registered deviation, reviewed at twelve months</t>
        </is>
      </c>
      <c r="G4" s="7" t="inlineStr">
        <is>
          <t>12 months</t>
        </is>
      </c>
      <c r="H4" s="7" t="inlineStr">
        <is>
          <t>Programme architect</t>
        </is>
      </c>
      <c r="I4" s="9" t="n">
        <v>45852</v>
      </c>
      <c r="J4" s="9" t="n">
        <v>46217</v>
      </c>
      <c r="K4" s="7" t="inlineStr">
        <is>
          <t>Adopted</t>
        </is>
      </c>
    </row>
    <row r="5" ht="58" customHeight="1">
      <c r="A5" s="7" t="inlineStr">
        <is>
          <t>P-04</t>
        </is>
      </c>
      <c r="B5" s="7" t="inlineStr">
        <is>
          <t>Reversibility over efficiency</t>
        </is>
      </c>
      <c r="C5" s="7" t="inlineStr">
        <is>
          <t>Four of last year's six incidents traced to changes that could not be reversed quickly</t>
        </is>
      </c>
      <c r="D5" s="7" t="inlineStr">
        <is>
          <t>Some designs cost 15 to 20 per cent more to build</t>
        </is>
      </c>
      <c r="E5" s="7" t="inlineStr">
        <is>
          <t>Can this be undone within one working day, and has that been tested?</t>
        </is>
      </c>
      <c r="F5" s="7" t="inlineStr">
        <is>
          <t>Board approval for a one-way door, with the reason recorded</t>
        </is>
      </c>
      <c r="G5" s="7" t="inlineStr">
        <is>
          <t>6 months</t>
        </is>
      </c>
      <c r="H5" s="7" t="inlineStr">
        <is>
          <t>Chief architect</t>
        </is>
      </c>
      <c r="I5" s="9" t="n">
        <v>45852</v>
      </c>
      <c r="J5" s="9" t="n">
        <v>46217</v>
      </c>
      <c r="K5" s="7" t="inlineStr">
        <is>
          <t>Adopted</t>
        </is>
      </c>
    </row>
    <row r="6" ht="58" customHeight="1">
      <c r="A6" s="7" t="inlineStr">
        <is>
          <t>P-05</t>
        </is>
      </c>
      <c r="B6" s="7" t="inlineStr">
        <is>
          <t>Run cost named at design time over speed to first demo</t>
        </is>
      </c>
      <c r="C6" s="7" t="inlineStr">
        <is>
          <t>Two platforms now cost more to operate than they cost to build; neither had an operating estimate</t>
        </is>
      </c>
      <c r="D6" s="7" t="inlineStr">
        <is>
          <t>A week of design time added to most builds</t>
        </is>
      </c>
      <c r="E6" s="7" t="inlineStr">
        <is>
          <t>Is there an annual run cost on the design page, with a name against it?</t>
        </is>
      </c>
      <c r="F6" s="7" t="inlineStr">
        <is>
          <t>None - the estimate can be rough, but it cannot be absent</t>
        </is>
      </c>
      <c r="G6" s="7" t="inlineStr">
        <is>
          <t>-</t>
        </is>
      </c>
      <c r="H6" s="7" t="inlineStr">
        <is>
          <t>Chief architect</t>
        </is>
      </c>
      <c r="I6" s="9" t="n">
        <v>45852</v>
      </c>
      <c r="J6" s="9" t="n">
        <v>46217</v>
      </c>
      <c r="K6" s="7" t="inlineStr">
        <is>
          <t>Adopted</t>
        </is>
      </c>
    </row>
    <row r="7" ht="58" customHeight="1">
      <c r="A7" s="7" t="inlineStr">
        <is>
          <t>P-06</t>
        </is>
      </c>
      <c r="B7" s="7" t="inlineStr">
        <is>
          <t>Configuration over build, even where building would fit better</t>
        </is>
      </c>
      <c r="C7" s="7" t="inlineStr">
        <is>
          <t>The in-house workflow tool built in Q3 now has one maintainer and no roadmap</t>
        </is>
      </c>
      <c r="D7" s="7" t="inlineStr">
        <is>
          <t>We accept a worse fit in exchange for a supported product</t>
        </is>
      </c>
      <c r="E7" s="7" t="inlineStr">
        <is>
          <t>Has the standard product been demonstrated against this requirement with real data?</t>
        </is>
      </c>
      <c r="F7" s="7" t="inlineStr">
        <is>
          <t>Registered, with the gap documented and a review at twelve months</t>
        </is>
      </c>
      <c r="G7" s="7" t="inlineStr">
        <is>
          <t>12 months</t>
        </is>
      </c>
      <c r="H7" s="7" t="inlineStr">
        <is>
          <t>Domain architect</t>
        </is>
      </c>
      <c r="I7" s="9" t="n">
        <v>45964</v>
      </c>
      <c r="J7" s="9" t="n">
        <v>46329</v>
      </c>
      <c r="K7" s="7" t="inlineStr">
        <is>
          <t>Adopted</t>
        </is>
      </c>
    </row>
    <row r="8" ht="58" customHeight="1">
      <c r="A8" s="7" t="inlineStr">
        <is>
          <t>P-07</t>
        </is>
      </c>
      <c r="B8" s="7" t="inlineStr">
        <is>
          <t>Traceable over convenient</t>
        </is>
      </c>
      <c r="C8" s="7" t="inlineStr">
        <is>
          <t>An audit finding two years ago cost more than that year's entire integration budget</t>
        </is>
      </c>
      <c r="D8" s="7" t="inlineStr">
        <is>
          <t>Every interface logs, including small internal flows</t>
        </is>
      </c>
      <c r="E8" s="7" t="inlineStr">
        <is>
          <t>Can any figure this touches be reconstructed within ten working days?</t>
        </is>
      </c>
      <c r="F8" s="7" t="inlineStr">
        <is>
          <t>Signed off by the compliance lead, not by architecture</t>
        </is>
      </c>
      <c r="G8" s="7" t="inlineStr">
        <is>
          <t>6 months</t>
        </is>
      </c>
      <c r="H8" s="7" t="inlineStr">
        <is>
          <t>Compliance lead</t>
        </is>
      </c>
      <c r="I8" s="9" t="n">
        <v>45964</v>
      </c>
      <c r="J8" s="9" t="n">
        <v>46329</v>
      </c>
      <c r="K8" s="7" t="inlineStr">
        <is>
          <t>Adopted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8">
      <c r="A18" s="10" t="inlineStr">
        <is>
          <t>Five to seven. Fewer misses the recurring arguments; more cannot be recalled in the corridor, which is where they matter.</t>
        </is>
      </c>
    </row>
    <row r="19">
      <c r="A19" s="10" t="inlineStr">
        <is>
          <t>Note that P-05 has no exception route on purpose. The estimate can be rough; it cannot be absent. Say so explicitly, or someone will assume there is a route and be surprised.</t>
        </is>
      </c>
    </row>
  </sheetData>
  <dataValidations count="1">
    <dataValidation sqref="K2:K41" showDropDown="0" showInputMessage="0" showErrorMessage="0" allowBlank="1" type="list">
      <formula1>=Lists!$B$1:$B$4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0" customWidth="1" min="4" max="4"/>
    <col width="58" customWidth="1" min="5" max="5"/>
    <col width="34" customWidth="1" min="6" max="6"/>
  </cols>
  <sheetData>
    <row r="1">
      <c r="A1" s="6" t="inlineStr">
        <is>
          <t>Date</t>
        </is>
      </c>
      <c r="B1" s="6" t="inlineStr">
        <is>
          <t>Decision ref</t>
        </is>
      </c>
      <c r="C1" s="6" t="inlineStr">
        <is>
          <t>Principle</t>
        </is>
      </c>
      <c r="D1" s="6" t="inlineStr">
        <is>
          <t>Applying or exception</t>
        </is>
      </c>
      <c r="E1" s="6" t="inlineStr">
        <is>
          <t>How it was used</t>
        </is>
      </c>
      <c r="F1" s="6" t="inlineStr">
        <is>
          <t>Outcome</t>
        </is>
      </c>
    </row>
    <row r="2">
      <c r="A2" s="9" t="n">
        <v>45875</v>
      </c>
      <c r="B2" s="7" t="inlineStr">
        <is>
          <t>ADR-041</t>
        </is>
      </c>
      <c r="C2" s="7" t="inlineStr">
        <is>
          <t>P-01</t>
        </is>
      </c>
      <c r="D2" s="7" t="inlineStr">
        <is>
          <t>Applying</t>
        </is>
      </c>
      <c r="E2" s="7" t="inlineStr">
        <is>
          <t>Reporting team asked for a writable copy of customer; refused, read-only cache registered instead</t>
        </is>
      </c>
      <c r="F2" s="7" t="inlineStr">
        <is>
          <t>Cache with a six-month expiry, since retired</t>
        </is>
      </c>
    </row>
    <row r="3">
      <c r="A3" s="9" t="n">
        <v>45902</v>
      </c>
      <c r="B3" s="7" t="inlineStr">
        <is>
          <t>ADR-046</t>
        </is>
      </c>
      <c r="C3" s="7" t="inlineStr">
        <is>
          <t>P-04</t>
        </is>
      </c>
      <c r="D3" s="7" t="inlineStr">
        <is>
          <t>Applying</t>
        </is>
      </c>
      <c r="E3" s="7" t="inlineStr">
        <is>
          <t>Migration cutover redesigned to keep the old path warm for two weeks</t>
        </is>
      </c>
      <c r="F3" s="7" t="inlineStr">
        <is>
          <t>Rollback used once, in week one</t>
        </is>
      </c>
    </row>
    <row r="4">
      <c r="A4" s="9" t="n">
        <v>45930</v>
      </c>
      <c r="B4" s="7" t="inlineStr">
        <is>
          <t>ADR-052</t>
        </is>
      </c>
      <c r="C4" s="7" t="inlineStr">
        <is>
          <t>P-03</t>
        </is>
      </c>
      <c r="D4" s="7" t="inlineStr">
        <is>
          <t>Exception</t>
        </is>
      </c>
      <c r="E4" s="7" t="inlineStr">
        <is>
          <t>Market with a statutory posting requirement</t>
        </is>
      </c>
      <c r="F4" s="7" t="inlineStr">
        <is>
          <t>Registered, expiry 2026-07-31, funded centrally</t>
        </is>
      </c>
    </row>
    <row r="5">
      <c r="A5" s="9" t="n">
        <v>45951</v>
      </c>
      <c r="B5" s="7" t="inlineStr">
        <is>
          <t>ADR-058</t>
        </is>
      </c>
      <c r="C5" s="7" t="inlineStr">
        <is>
          <t>P-02</t>
        </is>
      </c>
      <c r="D5" s="7" t="inlineStr">
        <is>
          <t>Applying</t>
        </is>
      </c>
      <c r="E5" s="7" t="inlineStr">
        <is>
          <t>Identity design changed to allow a second directory during onboarding</t>
        </is>
      </c>
      <c r="F5" s="7" t="inlineStr">
        <is>
          <t>Added four weeks; used six months later</t>
        </is>
      </c>
    </row>
    <row r="6">
      <c r="A6" s="9" t="n">
        <v>45979</v>
      </c>
      <c r="B6" s="7" t="inlineStr">
        <is>
          <t>ADR-063</t>
        </is>
      </c>
      <c r="C6" s="7" t="inlineStr">
        <is>
          <t>P-05</t>
        </is>
      </c>
      <c r="D6" s="7" t="inlineStr">
        <is>
          <t>Applying</t>
        </is>
      </c>
      <c r="E6" s="7" t="inlineStr">
        <is>
          <t>Analytics platform sent back for an operating estimate before approval</t>
        </is>
      </c>
      <c r="F6" s="7" t="inlineStr">
        <is>
          <t>Estimate came back at three times the assumption; scope reduced</t>
        </is>
      </c>
    </row>
    <row r="7">
      <c r="A7" s="9" t="n">
        <v>46035</v>
      </c>
      <c r="B7" s="7" t="inlineStr">
        <is>
          <t>ADR-071</t>
        </is>
      </c>
      <c r="C7" s="7" t="inlineStr">
        <is>
          <t>P-01</t>
        </is>
      </c>
      <c r="D7" s="7" t="inlineStr">
        <is>
          <t>Applying</t>
        </is>
      </c>
      <c r="E7" s="7" t="inlineStr">
        <is>
          <t>Second write path into supplier refused; event contract added instead</t>
        </is>
      </c>
      <c r="F7" s="7" t="inlineStr">
        <is>
          <t>Interface INT-001</t>
        </is>
      </c>
    </row>
    <row r="8">
      <c r="A8" s="9" t="n">
        <v>46057</v>
      </c>
      <c r="B8" s="7" t="inlineStr">
        <is>
          <t>ADR-074</t>
        </is>
      </c>
      <c r="C8" s="7" t="inlineStr">
        <is>
          <t>P-06</t>
        </is>
      </c>
      <c r="D8" s="7" t="inlineStr">
        <is>
          <t>Exception</t>
        </is>
      </c>
      <c r="E8" s="7" t="inlineStr">
        <is>
          <t>Bespoke picking sequence for one market</t>
        </is>
      </c>
      <c r="F8" s="7" t="inlineStr">
        <is>
          <t>Fit-gap list, review in twelve months</t>
        </is>
      </c>
    </row>
    <row r="9">
      <c r="A9" s="9" t="n">
        <v>46077</v>
      </c>
      <c r="B9" s="7" t="inlineStr">
        <is>
          <t>ADR-077</t>
        </is>
      </c>
      <c r="C9" s="7" t="inlineStr">
        <is>
          <t>P-07</t>
        </is>
      </c>
      <c r="D9" s="7" t="inlineStr">
        <is>
          <t>Applying</t>
        </is>
      </c>
      <c r="E9" s="7" t="inlineStr">
        <is>
          <t>Small internal flow required logging that the team considered disproportionate</t>
        </is>
      </c>
      <c r="F9" s="7" t="inlineStr">
        <is>
          <t>Logged; used in an audit six weeks later</t>
        </is>
      </c>
    </row>
    <row r="10">
      <c r="A10" s="9" t="n">
        <v>46098</v>
      </c>
      <c r="B10" s="7" t="inlineStr">
        <is>
          <t>ADR-081</t>
        </is>
      </c>
      <c r="C10" s="7" t="inlineStr">
        <is>
          <t>P-03</t>
        </is>
      </c>
      <c r="D10" s="7" t="inlineStr">
        <is>
          <t>Applying</t>
        </is>
      </c>
      <c r="E10" s="7" t="inlineStr">
        <is>
          <t>Delivery team invoked it against an architecture request for a bespoke variant</t>
        </is>
      </c>
      <c r="F10" s="7" t="inlineStr">
        <is>
          <t>Request withdrawn - the best day of the year</t>
        </is>
      </c>
    </row>
    <row r="11">
      <c r="A11" s="9" t="n">
        <v>46120</v>
      </c>
      <c r="B11" s="7" t="inlineStr">
        <is>
          <t>ADR-085</t>
        </is>
      </c>
      <c r="C11" s="7" t="inlineStr">
        <is>
          <t>P-04</t>
        </is>
      </c>
      <c r="D11" s="7" t="inlineStr">
        <is>
          <t>Exception</t>
        </is>
      </c>
      <c r="E11" s="7" t="inlineStr">
        <is>
          <t>One-way data migration with no practical rollback</t>
        </is>
      </c>
      <c r="F11" s="7" t="inlineStr">
        <is>
          <t>Board approved, reason recorded, monitoring added</t>
        </is>
      </c>
    </row>
    <row r="12">
      <c r="A12" s="9" t="n">
        <v>46154</v>
      </c>
      <c r="B12" s="7" t="inlineStr">
        <is>
          <t>ADR-090</t>
        </is>
      </c>
      <c r="C12" s="7" t="inlineStr">
        <is>
          <t>P-01</t>
        </is>
      </c>
      <c r="D12" s="7" t="inlineStr">
        <is>
          <t>Applying</t>
        </is>
      </c>
      <c r="E12" s="7" t="inlineStr">
        <is>
          <t>Campaign tool asked for a local customer store</t>
        </is>
      </c>
      <c r="F12" s="7" t="inlineStr">
        <is>
          <t>Read via API; campaign shipped two weeks later than hoped</t>
        </is>
      </c>
    </row>
    <row r="13">
      <c r="A13" s="9" t="n">
        <v>46175</v>
      </c>
      <c r="B13" s="7" t="inlineStr">
        <is>
          <t>ADR-094</t>
        </is>
      </c>
      <c r="C13" s="7" t="inlineStr">
        <is>
          <t>P-06</t>
        </is>
      </c>
      <c r="D13" s="7" t="inlineStr">
        <is>
          <t>Applying</t>
        </is>
      </c>
      <c r="E13" s="7" t="inlineStr">
        <is>
          <t>Workflow requirement met by configuring the standard product</t>
        </is>
      </c>
      <c r="F13" s="7" t="inlineStr">
        <is>
          <t>Four weeks saved against the build estimate</t>
        </is>
      </c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  <row r="44">
      <c r="A44" s="8" t="n"/>
      <c r="B44" s="8" t="n"/>
      <c r="C44" s="8" t="n"/>
      <c r="D44" s="8" t="n"/>
      <c r="E44" s="8" t="n"/>
      <c r="F44" s="8" t="n"/>
    </row>
    <row r="45">
      <c r="A45" s="8" t="n"/>
      <c r="B45" s="8" t="n"/>
      <c r="C45" s="8" t="n"/>
      <c r="D45" s="8" t="n"/>
      <c r="E45" s="8" t="n"/>
      <c r="F45" s="8" t="n"/>
    </row>
    <row r="46">
      <c r="A46" s="8" t="n"/>
      <c r="B46" s="8" t="n"/>
      <c r="C46" s="8" t="n"/>
      <c r="D46" s="8" t="n"/>
      <c r="E46" s="8" t="n"/>
      <c r="F46" s="8" t="n"/>
    </row>
    <row r="47">
      <c r="A47" s="8" t="n"/>
      <c r="B47" s="8" t="n"/>
      <c r="C47" s="8" t="n"/>
      <c r="D47" s="8" t="n"/>
      <c r="E47" s="8" t="n"/>
      <c r="F47" s="8" t="n"/>
    </row>
    <row r="48">
      <c r="A48" s="8" t="n"/>
      <c r="B48" s="8" t="n"/>
      <c r="C48" s="8" t="n"/>
      <c r="D48" s="8" t="n"/>
      <c r="E48" s="8" t="n"/>
      <c r="F48" s="8" t="n"/>
    </row>
    <row r="49">
      <c r="A49" s="8" t="n"/>
      <c r="B49" s="8" t="n"/>
      <c r="C49" s="8" t="n"/>
      <c r="D49" s="8" t="n"/>
      <c r="E49" s="8" t="n"/>
      <c r="F49" s="8" t="n"/>
    </row>
    <row r="50">
      <c r="A50" s="8" t="n"/>
      <c r="B50" s="8" t="n"/>
      <c r="C50" s="8" t="n"/>
      <c r="D50" s="8" t="n"/>
      <c r="E50" s="8" t="n"/>
      <c r="F50" s="8" t="n"/>
    </row>
    <row r="51">
      <c r="A51" s="8" t="n"/>
      <c r="B51" s="8" t="n"/>
      <c r="C51" s="8" t="n"/>
      <c r="D51" s="8" t="n"/>
      <c r="E51" s="8" t="n"/>
      <c r="F51" s="8" t="n"/>
    </row>
    <row r="52">
      <c r="A52" s="8" t="n"/>
      <c r="B52" s="8" t="n"/>
      <c r="C52" s="8" t="n"/>
      <c r="D52" s="8" t="n"/>
      <c r="E52" s="8" t="n"/>
      <c r="F52" s="8" t="n"/>
    </row>
    <row r="53">
      <c r="A53" s="8" t="n"/>
      <c r="B53" s="8" t="n"/>
      <c r="C53" s="8" t="n"/>
      <c r="D53" s="8" t="n"/>
      <c r="E53" s="8" t="n"/>
      <c r="F53" s="8" t="n"/>
    </row>
    <row r="54">
      <c r="A54" s="8" t="n"/>
      <c r="B54" s="8" t="n"/>
      <c r="C54" s="8" t="n"/>
      <c r="D54" s="8" t="n"/>
      <c r="E54" s="8" t="n"/>
      <c r="F54" s="8" t="n"/>
    </row>
    <row r="55">
      <c r="A55" s="8" t="n"/>
      <c r="B55" s="8" t="n"/>
      <c r="C55" s="8" t="n"/>
      <c r="D55" s="8" t="n"/>
      <c r="E55" s="8" t="n"/>
      <c r="F55" s="8" t="n"/>
    </row>
    <row r="56">
      <c r="A56" s="8" t="n"/>
      <c r="B56" s="8" t="n"/>
      <c r="C56" s="8" t="n"/>
      <c r="D56" s="8" t="n"/>
      <c r="E56" s="8" t="n"/>
      <c r="F56" s="8" t="n"/>
    </row>
    <row r="57">
      <c r="A57" s="8" t="n"/>
      <c r="B57" s="8" t="n"/>
      <c r="C57" s="8" t="n"/>
      <c r="D57" s="8" t="n"/>
      <c r="E57" s="8" t="n"/>
      <c r="F57" s="8" t="n"/>
    </row>
    <row r="58">
      <c r="A58" s="8" t="n"/>
      <c r="B58" s="8" t="n"/>
      <c r="C58" s="8" t="n"/>
      <c r="D58" s="8" t="n"/>
      <c r="E58" s="8" t="n"/>
      <c r="F58" s="8" t="n"/>
    </row>
    <row r="59">
      <c r="A59" s="8" t="n"/>
      <c r="B59" s="8" t="n"/>
      <c r="C59" s="8" t="n"/>
      <c r="D59" s="8" t="n"/>
      <c r="E59" s="8" t="n"/>
      <c r="F59" s="8" t="n"/>
    </row>
    <row r="60">
      <c r="A60" s="8" t="n"/>
      <c r="B60" s="8" t="n"/>
      <c r="C60" s="8" t="n"/>
      <c r="D60" s="8" t="n"/>
      <c r="E60" s="8" t="n"/>
      <c r="F60" s="8" t="n"/>
    </row>
    <row r="61">
      <c r="A61" s="8" t="n"/>
      <c r="B61" s="8" t="n"/>
      <c r="C61" s="8" t="n"/>
      <c r="D61" s="8" t="n"/>
      <c r="E61" s="8" t="n"/>
      <c r="F61" s="8" t="n"/>
    </row>
    <row r="62">
      <c r="A62" s="8" t="n"/>
      <c r="B62" s="8" t="n"/>
      <c r="C62" s="8" t="n"/>
      <c r="D62" s="8" t="n"/>
      <c r="E62" s="8" t="n"/>
      <c r="F62" s="8" t="n"/>
    </row>
    <row r="63">
      <c r="A63" s="8" t="n"/>
      <c r="B63" s="8" t="n"/>
      <c r="C63" s="8" t="n"/>
      <c r="D63" s="8" t="n"/>
      <c r="E63" s="8" t="n"/>
      <c r="F63" s="8" t="n"/>
    </row>
    <row r="64">
      <c r="A64" s="8" t="n"/>
      <c r="B64" s="8" t="n"/>
      <c r="C64" s="8" t="n"/>
      <c r="D64" s="8" t="n"/>
      <c r="E64" s="8" t="n"/>
      <c r="F64" s="8" t="n"/>
    </row>
    <row r="65">
      <c r="A65" s="8" t="n"/>
      <c r="B65" s="8" t="n"/>
      <c r="C65" s="8" t="n"/>
      <c r="D65" s="8" t="n"/>
      <c r="E65" s="8" t="n"/>
      <c r="F65" s="8" t="n"/>
    </row>
    <row r="66">
      <c r="A66" s="8" t="n"/>
      <c r="B66" s="8" t="n"/>
      <c r="C66" s="8" t="n"/>
      <c r="D66" s="8" t="n"/>
      <c r="E66" s="8" t="n"/>
      <c r="F66" s="8" t="n"/>
    </row>
    <row r="67">
      <c r="A67" s="8" t="n"/>
      <c r="B67" s="8" t="n"/>
      <c r="C67" s="8" t="n"/>
      <c r="D67" s="8" t="n"/>
      <c r="E67" s="8" t="n"/>
      <c r="F67" s="8" t="n"/>
    </row>
    <row r="68">
      <c r="A68" s="8" t="n"/>
      <c r="B68" s="8" t="n"/>
      <c r="C68" s="8" t="n"/>
      <c r="D68" s="8" t="n"/>
      <c r="E68" s="8" t="n"/>
      <c r="F68" s="8" t="n"/>
    </row>
    <row r="69">
      <c r="A69" s="8" t="n"/>
      <c r="B69" s="8" t="n"/>
      <c r="C69" s="8" t="n"/>
      <c r="D69" s="8" t="n"/>
      <c r="E69" s="8" t="n"/>
      <c r="F69" s="8" t="n"/>
    </row>
    <row r="70">
      <c r="A70" s="8" t="n"/>
      <c r="B70" s="8" t="n"/>
      <c r="C70" s="8" t="n"/>
      <c r="D70" s="8" t="n"/>
      <c r="E70" s="8" t="n"/>
      <c r="F70" s="8" t="n"/>
    </row>
    <row r="71">
      <c r="A71" s="8" t="n"/>
      <c r="B71" s="8" t="n"/>
      <c r="C71" s="8" t="n"/>
      <c r="D71" s="8" t="n"/>
      <c r="E71" s="8" t="n"/>
      <c r="F71" s="8" t="n"/>
    </row>
    <row r="72">
      <c r="A72" s="8" t="n"/>
      <c r="B72" s="8" t="n"/>
      <c r="C72" s="8" t="n"/>
      <c r="D72" s="8" t="n"/>
      <c r="E72" s="8" t="n"/>
      <c r="F72" s="8" t="n"/>
    </row>
    <row r="73">
      <c r="A73" s="8" t="n"/>
      <c r="B73" s="8" t="n"/>
      <c r="C73" s="8" t="n"/>
      <c r="D73" s="8" t="n"/>
      <c r="E73" s="8" t="n"/>
      <c r="F73" s="8" t="n"/>
    </row>
    <row r="74">
      <c r="A74" s="8" t="n"/>
      <c r="B74" s="8" t="n"/>
      <c r="C74" s="8" t="n"/>
      <c r="D74" s="8" t="n"/>
      <c r="E74" s="8" t="n"/>
      <c r="F74" s="8" t="n"/>
    </row>
    <row r="75">
      <c r="A75" s="8" t="n"/>
      <c r="B75" s="8" t="n"/>
      <c r="C75" s="8" t="n"/>
      <c r="D75" s="8" t="n"/>
      <c r="E75" s="8" t="n"/>
      <c r="F75" s="8" t="n"/>
    </row>
    <row r="76">
      <c r="A76" s="8" t="n"/>
      <c r="B76" s="8" t="n"/>
      <c r="C76" s="8" t="n"/>
      <c r="D76" s="8" t="n"/>
      <c r="E76" s="8" t="n"/>
      <c r="F76" s="8" t="n"/>
    </row>
    <row r="77">
      <c r="A77" s="8" t="n"/>
      <c r="B77" s="8" t="n"/>
      <c r="C77" s="8" t="n"/>
      <c r="D77" s="8" t="n"/>
      <c r="E77" s="8" t="n"/>
      <c r="F77" s="8" t="n"/>
    </row>
    <row r="78">
      <c r="A78" s="8" t="n"/>
      <c r="B78" s="8" t="n"/>
      <c r="C78" s="8" t="n"/>
      <c r="D78" s="8" t="n"/>
      <c r="E78" s="8" t="n"/>
      <c r="F78" s="8" t="n"/>
    </row>
    <row r="79">
      <c r="A79" s="8" t="n"/>
      <c r="B79" s="8" t="n"/>
      <c r="C79" s="8" t="n"/>
      <c r="D79" s="8" t="n"/>
      <c r="E79" s="8" t="n"/>
      <c r="F79" s="8" t="n"/>
    </row>
    <row r="80">
      <c r="A80" s="8" t="n"/>
      <c r="B80" s="8" t="n"/>
      <c r="C80" s="8" t="n"/>
      <c r="D80" s="8" t="n"/>
      <c r="E80" s="8" t="n"/>
      <c r="F80" s="8" t="n"/>
    </row>
    <row r="81">
      <c r="A81" s="8" t="n"/>
      <c r="B81" s="8" t="n"/>
      <c r="C81" s="8" t="n"/>
      <c r="D81" s="8" t="n"/>
      <c r="E81" s="8" t="n"/>
      <c r="F81" s="8" t="n"/>
    </row>
    <row r="82">
      <c r="A82" s="8" t="n"/>
      <c r="B82" s="8" t="n"/>
      <c r="C82" s="8" t="n"/>
      <c r="D82" s="8" t="n"/>
      <c r="E82" s="8" t="n"/>
      <c r="F82" s="8" t="n"/>
    </row>
    <row r="83">
      <c r="A83" s="8" t="n"/>
      <c r="B83" s="8" t="n"/>
      <c r="C83" s="8" t="n"/>
      <c r="D83" s="8" t="n"/>
      <c r="E83" s="8" t="n"/>
      <c r="F83" s="8" t="n"/>
    </row>
    <row r="84">
      <c r="A84" s="8" t="n"/>
      <c r="B84" s="8" t="n"/>
      <c r="C84" s="8" t="n"/>
      <c r="D84" s="8" t="n"/>
      <c r="E84" s="8" t="n"/>
      <c r="F84" s="8" t="n"/>
    </row>
    <row r="85">
      <c r="A85" s="8" t="n"/>
      <c r="B85" s="8" t="n"/>
      <c r="C85" s="8" t="n"/>
      <c r="D85" s="8" t="n"/>
      <c r="E85" s="8" t="n"/>
      <c r="F85" s="8" t="n"/>
    </row>
    <row r="86">
      <c r="A86" s="8" t="n"/>
      <c r="B86" s="8" t="n"/>
      <c r="C86" s="8" t="n"/>
      <c r="D86" s="8" t="n"/>
      <c r="E86" s="8" t="n"/>
      <c r="F86" s="8" t="n"/>
    </row>
    <row r="87">
      <c r="A87" s="8" t="n"/>
      <c r="B87" s="8" t="n"/>
      <c r="C87" s="8" t="n"/>
      <c r="D87" s="8" t="n"/>
      <c r="E87" s="8" t="n"/>
      <c r="F87" s="8" t="n"/>
    </row>
    <row r="88">
      <c r="A88" s="8" t="n"/>
      <c r="B88" s="8" t="n"/>
      <c r="C88" s="8" t="n"/>
      <c r="D88" s="8" t="n"/>
      <c r="E88" s="8" t="n"/>
      <c r="F88" s="8" t="n"/>
    </row>
    <row r="89">
      <c r="A89" s="8" t="n"/>
      <c r="B89" s="8" t="n"/>
      <c r="C89" s="8" t="n"/>
      <c r="D89" s="8" t="n"/>
      <c r="E89" s="8" t="n"/>
      <c r="F89" s="8" t="n"/>
    </row>
    <row r="90">
      <c r="A90" s="8" t="n"/>
      <c r="B90" s="8" t="n"/>
      <c r="C90" s="8" t="n"/>
      <c r="D90" s="8" t="n"/>
      <c r="E90" s="8" t="n"/>
      <c r="F90" s="8" t="n"/>
    </row>
    <row r="91">
      <c r="A91" s="8" t="n"/>
      <c r="B91" s="8" t="n"/>
      <c r="C91" s="8" t="n"/>
      <c r="D91" s="8" t="n"/>
      <c r="E91" s="8" t="n"/>
      <c r="F91" s="8" t="n"/>
    </row>
    <row r="92">
      <c r="A92" s="8" t="n"/>
      <c r="B92" s="8" t="n"/>
      <c r="C92" s="8" t="n"/>
      <c r="D92" s="8" t="n"/>
      <c r="E92" s="8" t="n"/>
      <c r="F92" s="8" t="n"/>
    </row>
    <row r="93">
      <c r="A93" s="8" t="n"/>
      <c r="B93" s="8" t="n"/>
      <c r="C93" s="8" t="n"/>
      <c r="D93" s="8" t="n"/>
      <c r="E93" s="8" t="n"/>
      <c r="F93" s="8" t="n"/>
    </row>
    <row r="94">
      <c r="A94" s="8" t="n"/>
      <c r="B94" s="8" t="n"/>
      <c r="C94" s="8" t="n"/>
      <c r="D94" s="8" t="n"/>
      <c r="E94" s="8" t="n"/>
      <c r="F94" s="8" t="n"/>
    </row>
    <row r="95">
      <c r="A95" s="8" t="n"/>
      <c r="B95" s="8" t="n"/>
      <c r="C95" s="8" t="n"/>
      <c r="D95" s="8" t="n"/>
      <c r="E95" s="8" t="n"/>
      <c r="F95" s="8" t="n"/>
    </row>
    <row r="96">
      <c r="A96" s="8" t="n"/>
      <c r="B96" s="8" t="n"/>
      <c r="C96" s="8" t="n"/>
      <c r="D96" s="8" t="n"/>
      <c r="E96" s="8" t="n"/>
      <c r="F96" s="8" t="n"/>
    </row>
    <row r="97">
      <c r="A97" s="8" t="n"/>
      <c r="B97" s="8" t="n"/>
      <c r="C97" s="8" t="n"/>
      <c r="D97" s="8" t="n"/>
      <c r="E97" s="8" t="n"/>
      <c r="F97" s="8" t="n"/>
    </row>
    <row r="98">
      <c r="A98" s="8" t="n"/>
      <c r="B98" s="8" t="n"/>
      <c r="C98" s="8" t="n"/>
      <c r="D98" s="8" t="n"/>
      <c r="E98" s="8" t="n"/>
      <c r="F98" s="8" t="n"/>
    </row>
    <row r="99">
      <c r="A99" s="8" t="n"/>
      <c r="B99" s="8" t="n"/>
      <c r="C99" s="8" t="n"/>
      <c r="D99" s="8" t="n"/>
      <c r="E99" s="8" t="n"/>
      <c r="F99" s="8" t="n"/>
    </row>
    <row r="100">
      <c r="A100" s="8" t="n"/>
      <c r="B100" s="8" t="n"/>
      <c r="C100" s="8" t="n"/>
      <c r="D100" s="8" t="n"/>
      <c r="E100" s="8" t="n"/>
      <c r="F100" s="8" t="n"/>
    </row>
    <row r="101">
      <c r="A101" s="8" t="n"/>
      <c r="B101" s="8" t="n"/>
      <c r="C101" s="8" t="n"/>
      <c r="D101" s="8" t="n"/>
      <c r="E101" s="8" t="n"/>
      <c r="F101" s="8" t="n"/>
    </row>
    <row r="102">
      <c r="A102" s="8" t="n"/>
      <c r="B102" s="8" t="n"/>
      <c r="C102" s="8" t="n"/>
      <c r="D102" s="8" t="n"/>
      <c r="E102" s="8" t="n"/>
      <c r="F102" s="8" t="n"/>
    </row>
    <row r="103">
      <c r="A103" s="8" t="n"/>
      <c r="B103" s="8" t="n"/>
      <c r="C103" s="8" t="n"/>
      <c r="D103" s="8" t="n"/>
      <c r="E103" s="8" t="n"/>
      <c r="F103" s="8" t="n"/>
    </row>
    <row r="104">
      <c r="A104" s="8" t="n"/>
      <c r="B104" s="8" t="n"/>
      <c r="C104" s="8" t="n"/>
      <c r="D104" s="8" t="n"/>
      <c r="E104" s="8" t="n"/>
      <c r="F104" s="8" t="n"/>
    </row>
    <row r="105">
      <c r="A105" s="8" t="n"/>
      <c r="B105" s="8" t="n"/>
      <c r="C105" s="8" t="n"/>
      <c r="D105" s="8" t="n"/>
      <c r="E105" s="8" t="n"/>
      <c r="F105" s="8" t="n"/>
    </row>
    <row r="106">
      <c r="A106" s="8" t="n"/>
      <c r="B106" s="8" t="n"/>
      <c r="C106" s="8" t="n"/>
      <c r="D106" s="8" t="n"/>
      <c r="E106" s="8" t="n"/>
      <c r="F106" s="8" t="n"/>
    </row>
    <row r="107">
      <c r="A107" s="8" t="n"/>
      <c r="B107" s="8" t="n"/>
      <c r="C107" s="8" t="n"/>
      <c r="D107" s="8" t="n"/>
      <c r="E107" s="8" t="n"/>
      <c r="F107" s="8" t="n"/>
    </row>
    <row r="108">
      <c r="A108" s="8" t="n"/>
      <c r="B108" s="8" t="n"/>
      <c r="C108" s="8" t="n"/>
      <c r="D108" s="8" t="n"/>
      <c r="E108" s="8" t="n"/>
      <c r="F108" s="8" t="n"/>
    </row>
    <row r="109">
      <c r="A109" s="8" t="n"/>
      <c r="B109" s="8" t="n"/>
      <c r="C109" s="8" t="n"/>
      <c r="D109" s="8" t="n"/>
      <c r="E109" s="8" t="n"/>
      <c r="F109" s="8" t="n"/>
    </row>
    <row r="110">
      <c r="A110" s="8" t="n"/>
      <c r="B110" s="8" t="n"/>
      <c r="C110" s="8" t="n"/>
      <c r="D110" s="8" t="n"/>
      <c r="E110" s="8" t="n"/>
      <c r="F110" s="8" t="n"/>
    </row>
    <row r="111">
      <c r="A111" s="8" t="n"/>
      <c r="B111" s="8" t="n"/>
      <c r="C111" s="8" t="n"/>
      <c r="D111" s="8" t="n"/>
      <c r="E111" s="8" t="n"/>
      <c r="F111" s="8" t="n"/>
    </row>
    <row r="112">
      <c r="A112" s="8" t="n"/>
      <c r="B112" s="8" t="n"/>
      <c r="C112" s="8" t="n"/>
      <c r="D112" s="8" t="n"/>
      <c r="E112" s="8" t="n"/>
      <c r="F112" s="8" t="n"/>
    </row>
    <row r="113">
      <c r="A113" s="8" t="n"/>
      <c r="B113" s="8" t="n"/>
      <c r="C113" s="8" t="n"/>
      <c r="D113" s="8" t="n"/>
      <c r="E113" s="8" t="n"/>
      <c r="F113" s="8" t="n"/>
    </row>
    <row r="114">
      <c r="A114" s="8" t="n"/>
      <c r="B114" s="8" t="n"/>
      <c r="C114" s="8" t="n"/>
      <c r="D114" s="8" t="n"/>
      <c r="E114" s="8" t="n"/>
      <c r="F114" s="8" t="n"/>
    </row>
    <row r="115">
      <c r="A115" s="8" t="n"/>
      <c r="B115" s="8" t="n"/>
      <c r="C115" s="8" t="n"/>
      <c r="D115" s="8" t="n"/>
      <c r="E115" s="8" t="n"/>
      <c r="F115" s="8" t="n"/>
    </row>
    <row r="116">
      <c r="A116" s="8" t="n"/>
      <c r="B116" s="8" t="n"/>
      <c r="C116" s="8" t="n"/>
      <c r="D116" s="8" t="n"/>
      <c r="E116" s="8" t="n"/>
      <c r="F116" s="8" t="n"/>
    </row>
    <row r="117">
      <c r="A117" s="8" t="n"/>
      <c r="B117" s="8" t="n"/>
      <c r="C117" s="8" t="n"/>
      <c r="D117" s="8" t="n"/>
      <c r="E117" s="8" t="n"/>
      <c r="F117" s="8" t="n"/>
    </row>
    <row r="118">
      <c r="A118" s="8" t="n"/>
      <c r="B118" s="8" t="n"/>
      <c r="C118" s="8" t="n"/>
      <c r="D118" s="8" t="n"/>
      <c r="E118" s="8" t="n"/>
      <c r="F118" s="8" t="n"/>
    </row>
    <row r="119">
      <c r="A119" s="8" t="n"/>
      <c r="B119" s="8" t="n"/>
      <c r="C119" s="8" t="n"/>
      <c r="D119" s="8" t="n"/>
      <c r="E119" s="8" t="n"/>
      <c r="F119" s="8" t="n"/>
    </row>
    <row r="120">
      <c r="A120" s="8" t="n"/>
      <c r="B120" s="8" t="n"/>
      <c r="C120" s="8" t="n"/>
      <c r="D120" s="8" t="n"/>
      <c r="E120" s="8" t="n"/>
      <c r="F120" s="8" t="n"/>
    </row>
    <row r="121">
      <c r="A121" s="8" t="n"/>
      <c r="B121" s="8" t="n"/>
      <c r="C121" s="8" t="n"/>
      <c r="D121" s="8" t="n"/>
      <c r="E121" s="8" t="n"/>
      <c r="F121" s="8" t="n"/>
    </row>
    <row r="122">
      <c r="A122" s="8" t="n"/>
      <c r="B122" s="8" t="n"/>
      <c r="C122" s="8" t="n"/>
      <c r="D122" s="8" t="n"/>
      <c r="E122" s="8" t="n"/>
      <c r="F122" s="8" t="n"/>
    </row>
    <row r="123">
      <c r="A123" s="8" t="n"/>
      <c r="B123" s="8" t="n"/>
      <c r="C123" s="8" t="n"/>
      <c r="D123" s="8" t="n"/>
      <c r="E123" s="8" t="n"/>
      <c r="F123" s="8" t="n"/>
    </row>
    <row r="124">
      <c r="A124" s="8" t="n"/>
      <c r="B124" s="8" t="n"/>
      <c r="C124" s="8" t="n"/>
      <c r="D124" s="8" t="n"/>
      <c r="E124" s="8" t="n"/>
      <c r="F124" s="8" t="n"/>
    </row>
    <row r="125">
      <c r="A125" s="8" t="n"/>
      <c r="B125" s="8" t="n"/>
      <c r="C125" s="8" t="n"/>
      <c r="D125" s="8" t="n"/>
      <c r="E125" s="8" t="n"/>
      <c r="F125" s="8" t="n"/>
    </row>
    <row r="126">
      <c r="A126" s="8" t="n"/>
      <c r="B126" s="8" t="n"/>
      <c r="C126" s="8" t="n"/>
      <c r="D126" s="8" t="n"/>
      <c r="E126" s="8" t="n"/>
      <c r="F126" s="8" t="n"/>
    </row>
    <row r="127">
      <c r="A127" s="8" t="n"/>
      <c r="B127" s="8" t="n"/>
      <c r="C127" s="8" t="n"/>
      <c r="D127" s="8" t="n"/>
      <c r="E127" s="8" t="n"/>
      <c r="F127" s="8" t="n"/>
    </row>
    <row r="128">
      <c r="A128" s="8" t="n"/>
      <c r="B128" s="8" t="n"/>
      <c r="C128" s="8" t="n"/>
      <c r="D128" s="8" t="n"/>
      <c r="E128" s="8" t="n"/>
      <c r="F128" s="8" t="n"/>
    </row>
    <row r="129">
      <c r="A129" s="8" t="n"/>
      <c r="B129" s="8" t="n"/>
      <c r="C129" s="8" t="n"/>
      <c r="D129" s="8" t="n"/>
      <c r="E129" s="8" t="n"/>
      <c r="F129" s="8" t="n"/>
    </row>
    <row r="130">
      <c r="A130" s="8" t="n"/>
      <c r="B130" s="8" t="n"/>
      <c r="C130" s="8" t="n"/>
      <c r="D130" s="8" t="n"/>
      <c r="E130" s="8" t="n"/>
      <c r="F130" s="8" t="n"/>
    </row>
    <row r="131">
      <c r="A131" s="8" t="n"/>
      <c r="B131" s="8" t="n"/>
      <c r="C131" s="8" t="n"/>
      <c r="D131" s="8" t="n"/>
      <c r="E131" s="8" t="n"/>
      <c r="F131" s="8" t="n"/>
    </row>
    <row r="132">
      <c r="A132" s="8" t="n"/>
      <c r="B132" s="8" t="n"/>
      <c r="C132" s="8" t="n"/>
      <c r="D132" s="8" t="n"/>
      <c r="E132" s="8" t="n"/>
      <c r="F132" s="8" t="n"/>
    </row>
    <row r="133">
      <c r="A133" s="8" t="n"/>
      <c r="B133" s="8" t="n"/>
      <c r="C133" s="8" t="n"/>
      <c r="D133" s="8" t="n"/>
      <c r="E133" s="8" t="n"/>
      <c r="F133" s="8" t="n"/>
    </row>
    <row r="134">
      <c r="A134" s="8" t="n"/>
      <c r="B134" s="8" t="n"/>
      <c r="C134" s="8" t="n"/>
      <c r="D134" s="8" t="n"/>
      <c r="E134" s="8" t="n"/>
      <c r="F134" s="8" t="n"/>
    </row>
    <row r="135">
      <c r="A135" s="8" t="n"/>
      <c r="B135" s="8" t="n"/>
      <c r="C135" s="8" t="n"/>
      <c r="D135" s="8" t="n"/>
      <c r="E135" s="8" t="n"/>
      <c r="F135" s="8" t="n"/>
    </row>
    <row r="136">
      <c r="A136" s="8" t="n"/>
      <c r="B136" s="8" t="n"/>
      <c r="C136" s="8" t="n"/>
      <c r="D136" s="8" t="n"/>
      <c r="E136" s="8" t="n"/>
      <c r="F136" s="8" t="n"/>
    </row>
    <row r="137">
      <c r="A137" s="8" t="n"/>
      <c r="B137" s="8" t="n"/>
      <c r="C137" s="8" t="n"/>
      <c r="D137" s="8" t="n"/>
      <c r="E137" s="8" t="n"/>
      <c r="F137" s="8" t="n"/>
    </row>
    <row r="138">
      <c r="A138" s="8" t="n"/>
      <c r="B138" s="8" t="n"/>
      <c r="C138" s="8" t="n"/>
      <c r="D138" s="8" t="n"/>
      <c r="E138" s="8" t="n"/>
      <c r="F138" s="8" t="n"/>
    </row>
    <row r="139">
      <c r="A139" s="8" t="n"/>
      <c r="B139" s="8" t="n"/>
      <c r="C139" s="8" t="n"/>
      <c r="D139" s="8" t="n"/>
      <c r="E139" s="8" t="n"/>
      <c r="F139" s="8" t="n"/>
    </row>
    <row r="140">
      <c r="A140" s="8" t="n"/>
      <c r="B140" s="8" t="n"/>
      <c r="C140" s="8" t="n"/>
      <c r="D140" s="8" t="n"/>
      <c r="E140" s="8" t="n"/>
      <c r="F140" s="8" t="n"/>
    </row>
    <row r="141">
      <c r="A141" s="8" t="n"/>
      <c r="B141" s="8" t="n"/>
      <c r="C141" s="8" t="n"/>
      <c r="D141" s="8" t="n"/>
      <c r="E141" s="8" t="n"/>
      <c r="F141" s="8" t="n"/>
    </row>
    <row r="142">
      <c r="A142" s="8" t="n"/>
      <c r="B142" s="8" t="n"/>
      <c r="C142" s="8" t="n"/>
      <c r="D142" s="8" t="n"/>
      <c r="E142" s="8" t="n"/>
      <c r="F142" s="8" t="n"/>
    </row>
    <row r="143">
      <c r="A143" s="8" t="n"/>
      <c r="B143" s="8" t="n"/>
      <c r="C143" s="8" t="n"/>
      <c r="D143" s="8" t="n"/>
      <c r="E143" s="8" t="n"/>
      <c r="F143" s="8" t="n"/>
    </row>
    <row r="144">
      <c r="A144" s="8" t="n"/>
      <c r="B144" s="8" t="n"/>
      <c r="C144" s="8" t="n"/>
      <c r="D144" s="8" t="n"/>
      <c r="E144" s="8" t="n"/>
      <c r="F144" s="8" t="n"/>
    </row>
    <row r="145">
      <c r="A145" s="8" t="n"/>
      <c r="B145" s="8" t="n"/>
      <c r="C145" s="8" t="n"/>
      <c r="D145" s="8" t="n"/>
      <c r="E145" s="8" t="n"/>
      <c r="F145" s="8" t="n"/>
    </row>
    <row r="146">
      <c r="A146" s="8" t="n"/>
      <c r="B146" s="8" t="n"/>
      <c r="C146" s="8" t="n"/>
      <c r="D146" s="8" t="n"/>
      <c r="E146" s="8" t="n"/>
      <c r="F146" s="8" t="n"/>
    </row>
    <row r="147">
      <c r="A147" s="8" t="n"/>
      <c r="B147" s="8" t="n"/>
      <c r="C147" s="8" t="n"/>
      <c r="D147" s="8" t="n"/>
      <c r="E147" s="8" t="n"/>
      <c r="F147" s="8" t="n"/>
    </row>
    <row r="148">
      <c r="A148" s="8" t="n"/>
      <c r="B148" s="8" t="n"/>
      <c r="C148" s="8" t="n"/>
      <c r="D148" s="8" t="n"/>
      <c r="E148" s="8" t="n"/>
      <c r="F148" s="8" t="n"/>
    </row>
    <row r="149">
      <c r="A149" s="8" t="n"/>
      <c r="B149" s="8" t="n"/>
      <c r="C149" s="8" t="n"/>
      <c r="D149" s="8" t="n"/>
      <c r="E149" s="8" t="n"/>
      <c r="F149" s="8" t="n"/>
    </row>
    <row r="150">
      <c r="A150" s="8" t="n"/>
      <c r="B150" s="8" t="n"/>
      <c r="C150" s="8" t="n"/>
      <c r="D150" s="8" t="n"/>
      <c r="E150" s="8" t="n"/>
      <c r="F150" s="8" t="n"/>
    </row>
    <row r="151">
      <c r="A151" s="8" t="n"/>
      <c r="B151" s="8" t="n"/>
      <c r="C151" s="8" t="n"/>
      <c r="D151" s="8" t="n"/>
      <c r="E151" s="8" t="n"/>
      <c r="F151" s="8" t="n"/>
    </row>
    <row r="152">
      <c r="A152" s="8" t="n"/>
      <c r="B152" s="8" t="n"/>
      <c r="C152" s="8" t="n"/>
      <c r="D152" s="8" t="n"/>
      <c r="E152" s="8" t="n"/>
      <c r="F152" s="8" t="n"/>
    </row>
    <row r="153">
      <c r="A153" s="8" t="n"/>
      <c r="B153" s="8" t="n"/>
      <c r="C153" s="8" t="n"/>
      <c r="D153" s="8" t="n"/>
      <c r="E153" s="8" t="n"/>
      <c r="F153" s="8" t="n"/>
    </row>
    <row r="154">
      <c r="A154" s="8" t="n"/>
      <c r="B154" s="8" t="n"/>
      <c r="C154" s="8" t="n"/>
      <c r="D154" s="8" t="n"/>
      <c r="E154" s="8" t="n"/>
      <c r="F154" s="8" t="n"/>
    </row>
    <row r="155">
      <c r="A155" s="8" t="n"/>
      <c r="B155" s="8" t="n"/>
      <c r="C155" s="8" t="n"/>
      <c r="D155" s="8" t="n"/>
      <c r="E155" s="8" t="n"/>
      <c r="F155" s="8" t="n"/>
    </row>
    <row r="156">
      <c r="A156" s="8" t="n"/>
      <c r="B156" s="8" t="n"/>
      <c r="C156" s="8" t="n"/>
      <c r="D156" s="8" t="n"/>
      <c r="E156" s="8" t="n"/>
      <c r="F156" s="8" t="n"/>
    </row>
    <row r="157">
      <c r="A157" s="8" t="n"/>
      <c r="B157" s="8" t="n"/>
      <c r="C157" s="8" t="n"/>
      <c r="D157" s="8" t="n"/>
      <c r="E157" s="8" t="n"/>
      <c r="F157" s="8" t="n"/>
    </row>
    <row r="158">
      <c r="A158" s="8" t="n"/>
      <c r="B158" s="8" t="n"/>
      <c r="C158" s="8" t="n"/>
      <c r="D158" s="8" t="n"/>
      <c r="E158" s="8" t="n"/>
      <c r="F158" s="8" t="n"/>
    </row>
    <row r="159">
      <c r="A159" s="8" t="n"/>
      <c r="B159" s="8" t="n"/>
      <c r="C159" s="8" t="n"/>
      <c r="D159" s="8" t="n"/>
      <c r="E159" s="8" t="n"/>
      <c r="F159" s="8" t="n"/>
    </row>
    <row r="160">
      <c r="A160" s="8" t="n"/>
      <c r="B160" s="8" t="n"/>
      <c r="C160" s="8" t="n"/>
      <c r="D160" s="8" t="n"/>
      <c r="E160" s="8" t="n"/>
      <c r="F160" s="8" t="n"/>
    </row>
    <row r="161">
      <c r="A161" s="8" t="n"/>
      <c r="B161" s="8" t="n"/>
      <c r="C161" s="8" t="n"/>
      <c r="D161" s="8" t="n"/>
      <c r="E161" s="8" t="n"/>
      <c r="F161" s="8" t="n"/>
    </row>
    <row r="162">
      <c r="A162" s="8" t="n"/>
      <c r="B162" s="8" t="n"/>
      <c r="C162" s="8" t="n"/>
      <c r="D162" s="8" t="n"/>
      <c r="E162" s="8" t="n"/>
      <c r="F162" s="8" t="n"/>
    </row>
    <row r="163">
      <c r="A163" s="8" t="n"/>
      <c r="B163" s="8" t="n"/>
      <c r="C163" s="8" t="n"/>
      <c r="D163" s="8" t="n"/>
      <c r="E163" s="8" t="n"/>
      <c r="F163" s="8" t="n"/>
    </row>
    <row r="164">
      <c r="A164" s="8" t="n"/>
      <c r="B164" s="8" t="n"/>
      <c r="C164" s="8" t="n"/>
      <c r="D164" s="8" t="n"/>
      <c r="E164" s="8" t="n"/>
      <c r="F164" s="8" t="n"/>
    </row>
    <row r="165">
      <c r="A165" s="8" t="n"/>
      <c r="B165" s="8" t="n"/>
      <c r="C165" s="8" t="n"/>
      <c r="D165" s="8" t="n"/>
      <c r="E165" s="8" t="n"/>
      <c r="F165" s="8" t="n"/>
    </row>
    <row r="166">
      <c r="A166" s="8" t="n"/>
      <c r="B166" s="8" t="n"/>
      <c r="C166" s="8" t="n"/>
      <c r="D166" s="8" t="n"/>
      <c r="E166" s="8" t="n"/>
      <c r="F166" s="8" t="n"/>
    </row>
    <row r="167">
      <c r="A167" s="8" t="n"/>
      <c r="B167" s="8" t="n"/>
      <c r="C167" s="8" t="n"/>
      <c r="D167" s="8" t="n"/>
      <c r="E167" s="8" t="n"/>
      <c r="F167" s="8" t="n"/>
    </row>
    <row r="168">
      <c r="A168" s="8" t="n"/>
      <c r="B168" s="8" t="n"/>
      <c r="C168" s="8" t="n"/>
      <c r="D168" s="8" t="n"/>
      <c r="E168" s="8" t="n"/>
      <c r="F168" s="8" t="n"/>
    </row>
    <row r="169">
      <c r="A169" s="8" t="n"/>
      <c r="B169" s="8" t="n"/>
      <c r="C169" s="8" t="n"/>
      <c r="D169" s="8" t="n"/>
      <c r="E169" s="8" t="n"/>
      <c r="F169" s="8" t="n"/>
    </row>
    <row r="170">
      <c r="A170" s="8" t="n"/>
      <c r="B170" s="8" t="n"/>
      <c r="C170" s="8" t="n"/>
      <c r="D170" s="8" t="n"/>
      <c r="E170" s="8" t="n"/>
      <c r="F170" s="8" t="n"/>
    </row>
    <row r="171">
      <c r="A171" s="8" t="n"/>
      <c r="B171" s="8" t="n"/>
      <c r="C171" s="8" t="n"/>
      <c r="D171" s="8" t="n"/>
      <c r="E171" s="8" t="n"/>
      <c r="F171" s="8" t="n"/>
    </row>
    <row r="172">
      <c r="A172" s="8" t="n"/>
      <c r="B172" s="8" t="n"/>
      <c r="C172" s="8" t="n"/>
      <c r="D172" s="8" t="n"/>
      <c r="E172" s="8" t="n"/>
      <c r="F172" s="8" t="n"/>
    </row>
    <row r="173">
      <c r="A173" s="8" t="n"/>
      <c r="B173" s="8" t="n"/>
      <c r="C173" s="8" t="n"/>
      <c r="D173" s="8" t="n"/>
      <c r="E173" s="8" t="n"/>
      <c r="F173" s="8" t="n"/>
    </row>
    <row r="174">
      <c r="A174" s="8" t="n"/>
      <c r="B174" s="8" t="n"/>
      <c r="C174" s="8" t="n"/>
      <c r="D174" s="8" t="n"/>
      <c r="E174" s="8" t="n"/>
      <c r="F174" s="8" t="n"/>
    </row>
    <row r="175">
      <c r="A175" s="8" t="n"/>
      <c r="B175" s="8" t="n"/>
      <c r="C175" s="8" t="n"/>
      <c r="D175" s="8" t="n"/>
      <c r="E175" s="8" t="n"/>
      <c r="F175" s="8" t="n"/>
    </row>
    <row r="176">
      <c r="A176" s="8" t="n"/>
      <c r="B176" s="8" t="n"/>
      <c r="C176" s="8" t="n"/>
      <c r="D176" s="8" t="n"/>
      <c r="E176" s="8" t="n"/>
      <c r="F176" s="8" t="n"/>
    </row>
    <row r="177">
      <c r="A177" s="8" t="n"/>
      <c r="B177" s="8" t="n"/>
      <c r="C177" s="8" t="n"/>
      <c r="D177" s="8" t="n"/>
      <c r="E177" s="8" t="n"/>
      <c r="F177" s="8" t="n"/>
    </row>
    <row r="178">
      <c r="A178" s="8" t="n"/>
      <c r="B178" s="8" t="n"/>
      <c r="C178" s="8" t="n"/>
      <c r="D178" s="8" t="n"/>
      <c r="E178" s="8" t="n"/>
      <c r="F178" s="8" t="n"/>
    </row>
    <row r="179">
      <c r="A179" s="8" t="n"/>
      <c r="B179" s="8" t="n"/>
      <c r="C179" s="8" t="n"/>
      <c r="D179" s="8" t="n"/>
      <c r="E179" s="8" t="n"/>
      <c r="F179" s="8" t="n"/>
    </row>
    <row r="180">
      <c r="A180" s="8" t="n"/>
      <c r="B180" s="8" t="n"/>
      <c r="C180" s="8" t="n"/>
      <c r="D180" s="8" t="n"/>
      <c r="E180" s="8" t="n"/>
      <c r="F180" s="8" t="n"/>
    </row>
    <row r="181">
      <c r="A181" s="8" t="n"/>
      <c r="B181" s="8" t="n"/>
      <c r="C181" s="8" t="n"/>
      <c r="D181" s="8" t="n"/>
      <c r="E181" s="8" t="n"/>
      <c r="F181" s="8" t="n"/>
    </row>
    <row r="182">
      <c r="A182" s="8" t="n"/>
      <c r="B182" s="8" t="n"/>
      <c r="C182" s="8" t="n"/>
      <c r="D182" s="8" t="n"/>
      <c r="E182" s="8" t="n"/>
      <c r="F182" s="8" t="n"/>
    </row>
    <row r="183">
      <c r="A183" s="8" t="n"/>
      <c r="B183" s="8" t="n"/>
      <c r="C183" s="8" t="n"/>
      <c r="D183" s="8" t="n"/>
      <c r="E183" s="8" t="n"/>
      <c r="F183" s="8" t="n"/>
    </row>
    <row r="184">
      <c r="A184" s="8" t="n"/>
      <c r="B184" s="8" t="n"/>
      <c r="C184" s="8" t="n"/>
      <c r="D184" s="8" t="n"/>
      <c r="E184" s="8" t="n"/>
      <c r="F184" s="8" t="n"/>
    </row>
    <row r="185">
      <c r="A185" s="8" t="n"/>
      <c r="B185" s="8" t="n"/>
      <c r="C185" s="8" t="n"/>
      <c r="D185" s="8" t="n"/>
      <c r="E185" s="8" t="n"/>
      <c r="F185" s="8" t="n"/>
    </row>
    <row r="186">
      <c r="A186" s="8" t="n"/>
      <c r="B186" s="8" t="n"/>
      <c r="C186" s="8" t="n"/>
      <c r="D186" s="8" t="n"/>
      <c r="E186" s="8" t="n"/>
      <c r="F186" s="8" t="n"/>
    </row>
    <row r="187">
      <c r="A187" s="8" t="n"/>
      <c r="B187" s="8" t="n"/>
      <c r="C187" s="8" t="n"/>
      <c r="D187" s="8" t="n"/>
      <c r="E187" s="8" t="n"/>
      <c r="F187" s="8" t="n"/>
    </row>
    <row r="188">
      <c r="A188" s="8" t="n"/>
      <c r="B188" s="8" t="n"/>
      <c r="C188" s="8" t="n"/>
      <c r="D188" s="8" t="n"/>
      <c r="E188" s="8" t="n"/>
      <c r="F188" s="8" t="n"/>
    </row>
    <row r="189">
      <c r="A189" s="8" t="n"/>
      <c r="B189" s="8" t="n"/>
      <c r="C189" s="8" t="n"/>
      <c r="D189" s="8" t="n"/>
      <c r="E189" s="8" t="n"/>
      <c r="F189" s="8" t="n"/>
    </row>
    <row r="190">
      <c r="A190" s="8" t="n"/>
      <c r="B190" s="8" t="n"/>
      <c r="C190" s="8" t="n"/>
      <c r="D190" s="8" t="n"/>
      <c r="E190" s="8" t="n"/>
      <c r="F190" s="8" t="n"/>
    </row>
    <row r="191">
      <c r="A191" s="8" t="n"/>
      <c r="B191" s="8" t="n"/>
      <c r="C191" s="8" t="n"/>
      <c r="D191" s="8" t="n"/>
      <c r="E191" s="8" t="n"/>
      <c r="F191" s="8" t="n"/>
    </row>
    <row r="192">
      <c r="A192" s="8" t="n"/>
      <c r="B192" s="8" t="n"/>
      <c r="C192" s="8" t="n"/>
      <c r="D192" s="8" t="n"/>
      <c r="E192" s="8" t="n"/>
      <c r="F192" s="8" t="n"/>
    </row>
    <row r="193">
      <c r="A193" s="8" t="n"/>
      <c r="B193" s="8" t="n"/>
      <c r="C193" s="8" t="n"/>
      <c r="D193" s="8" t="n"/>
      <c r="E193" s="8" t="n"/>
      <c r="F193" s="8" t="n"/>
    </row>
    <row r="194">
      <c r="A194" s="8" t="n"/>
      <c r="B194" s="8" t="n"/>
      <c r="C194" s="8" t="n"/>
      <c r="D194" s="8" t="n"/>
      <c r="E194" s="8" t="n"/>
      <c r="F194" s="8" t="n"/>
    </row>
    <row r="195">
      <c r="A195" s="8" t="n"/>
      <c r="B195" s="8" t="n"/>
      <c r="C195" s="8" t="n"/>
      <c r="D195" s="8" t="n"/>
      <c r="E195" s="8" t="n"/>
      <c r="F195" s="8" t="n"/>
    </row>
    <row r="196">
      <c r="A196" s="8" t="n"/>
      <c r="B196" s="8" t="n"/>
      <c r="C196" s="8" t="n"/>
      <c r="D196" s="8" t="n"/>
      <c r="E196" s="8" t="n"/>
      <c r="F196" s="8" t="n"/>
    </row>
    <row r="197">
      <c r="A197" s="8" t="n"/>
      <c r="B197" s="8" t="n"/>
      <c r="C197" s="8" t="n"/>
      <c r="D197" s="8" t="n"/>
      <c r="E197" s="8" t="n"/>
      <c r="F197" s="8" t="n"/>
    </row>
    <row r="198">
      <c r="A198" s="8" t="n"/>
      <c r="B198" s="8" t="n"/>
      <c r="C198" s="8" t="n"/>
      <c r="D198" s="8" t="n"/>
      <c r="E198" s="8" t="n"/>
      <c r="F198" s="8" t="n"/>
    </row>
    <row r="199">
      <c r="A199" s="8" t="n"/>
      <c r="B199" s="8" t="n"/>
      <c r="C199" s="8" t="n"/>
      <c r="D199" s="8" t="n"/>
      <c r="E199" s="8" t="n"/>
      <c r="F199" s="8" t="n"/>
    </row>
    <row r="200">
      <c r="A200" s="8" t="n"/>
      <c r="B200" s="8" t="n"/>
      <c r="C200" s="8" t="n"/>
      <c r="D200" s="8" t="n"/>
      <c r="E200" s="8" t="n"/>
      <c r="F200" s="8" t="n"/>
    </row>
    <row r="201">
      <c r="A201" s="8" t="n"/>
      <c r="B201" s="8" t="n"/>
      <c r="C201" s="8" t="n"/>
      <c r="D201" s="8" t="n"/>
      <c r="E201" s="8" t="n"/>
      <c r="F201" s="8" t="n"/>
    </row>
  </sheetData>
  <autoFilter ref="A1:F201"/>
  <dataValidations count="1">
    <dataValidation sqref="D2:D201" showDropDown="0" showInputMessage="0" showErrorMessage="0" allowBlank="1" type="list">
      <formula1>=Lists!$D$1:$D$2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44" customWidth="1" min="5" max="5"/>
    <col width="44" customWidth="1" min="6" max="6"/>
    <col width="18" customWidth="1" min="7" max="7"/>
    <col width="12" customWidth="1" min="8" max="8"/>
    <col width="14" customWidth="1" min="9" max="9"/>
    <col width="12" customWidth="1" min="10" max="10"/>
  </cols>
  <sheetData>
    <row r="1">
      <c r="A1" s="6" t="inlineStr">
        <is>
          <t>Ref</t>
        </is>
      </c>
      <c r="B1" s="6" t="inlineStr">
        <is>
          <t>Raised</t>
        </is>
      </c>
      <c r="C1" s="6" t="inlineStr">
        <is>
          <t>Principle</t>
        </is>
      </c>
      <c r="D1" s="6" t="inlineStr">
        <is>
          <t>Requested by</t>
        </is>
      </c>
      <c r="E1" s="6" t="inlineStr">
        <is>
          <t>What is being deviated from</t>
        </is>
      </c>
      <c r="F1" s="6" t="inlineStr">
        <is>
          <t>Reason</t>
        </is>
      </c>
      <c r="G1" s="6" t="inlineStr">
        <is>
          <t>Approved by</t>
        </is>
      </c>
      <c r="H1" s="6" t="inlineStr">
        <is>
          <t>Expiry</t>
        </is>
      </c>
      <c r="I1" s="6" t="inlineStr">
        <is>
          <t>Days to expiry</t>
        </is>
      </c>
      <c r="J1" s="6" t="inlineStr">
        <is>
          <t>Status</t>
        </is>
      </c>
    </row>
    <row r="2">
      <c r="A2" s="7" t="inlineStr">
        <is>
          <t>EXC-01</t>
        </is>
      </c>
      <c r="B2" s="9" t="n">
        <v>45930</v>
      </c>
      <c r="C2" s="7" t="inlineStr">
        <is>
          <t>P-03</t>
        </is>
      </c>
      <c r="D2" s="7" t="inlineStr">
        <is>
          <t>Market C</t>
        </is>
      </c>
      <c r="E2" s="7" t="inlineStr">
        <is>
          <t>Standard goods movement posting</t>
        </is>
      </c>
      <c r="F2" s="7" t="inlineStr">
        <is>
          <t>Statutory valuation basis differs</t>
        </is>
      </c>
      <c r="G2" s="7" t="inlineStr">
        <is>
          <t>Programme board</t>
        </is>
      </c>
      <c r="H2" s="9" t="n">
        <v>46234</v>
      </c>
      <c r="I2" s="7">
        <f>IF(H2="","",H2-DATE(2026,6,30))</f>
        <v/>
      </c>
      <c r="J2" s="7" t="inlineStr">
        <is>
          <t>Open</t>
        </is>
      </c>
    </row>
    <row r="3">
      <c r="A3" s="7" t="inlineStr">
        <is>
          <t>EXC-02</t>
        </is>
      </c>
      <c r="B3" s="9" t="n">
        <v>45944</v>
      </c>
      <c r="C3" s="7" t="inlineStr">
        <is>
          <t>P-01</t>
        </is>
      </c>
      <c r="D3" s="7" t="inlineStr">
        <is>
          <t>Reporting</t>
        </is>
      </c>
      <c r="E3" s="7" t="inlineStr">
        <is>
          <t>Read-only copy of customer refreshed nightly</t>
        </is>
      </c>
      <c r="F3" s="7" t="inlineStr">
        <is>
          <t>Reporting latency during month-end close</t>
        </is>
      </c>
      <c r="G3" s="7" t="inlineStr">
        <is>
          <t>Data architect</t>
        </is>
      </c>
      <c r="H3" s="9" t="n">
        <v>46126</v>
      </c>
      <c r="I3" s="7">
        <f>IF(H3="","",H3-DATE(2026,6,30))</f>
        <v/>
      </c>
      <c r="J3" s="7" t="inlineStr">
        <is>
          <t>Closed</t>
        </is>
      </c>
    </row>
    <row r="4">
      <c r="A4" s="7" t="inlineStr">
        <is>
          <t>EXC-03</t>
        </is>
      </c>
      <c r="B4" s="9" t="n">
        <v>46057</v>
      </c>
      <c r="C4" s="7" t="inlineStr">
        <is>
          <t>P-06</t>
        </is>
      </c>
      <c r="D4" s="7" t="inlineStr">
        <is>
          <t>Market F</t>
        </is>
      </c>
      <c r="E4" s="7" t="inlineStr">
        <is>
          <t>Bespoke picking sequence rather than configuration</t>
        </is>
      </c>
      <c r="F4" s="7" t="inlineStr">
        <is>
          <t>Warehouse layout predates the standard</t>
        </is>
      </c>
      <c r="G4" s="7" t="inlineStr">
        <is>
          <t>Domain architect</t>
        </is>
      </c>
      <c r="H4" s="9" t="n">
        <v>46422</v>
      </c>
      <c r="I4" s="7">
        <f>IF(H4="","",H4-DATE(2026,6,30))</f>
        <v/>
      </c>
      <c r="J4" s="7" t="inlineStr">
        <is>
          <t>Open</t>
        </is>
      </c>
    </row>
    <row r="5">
      <c r="A5" s="7" t="inlineStr">
        <is>
          <t>EXC-04</t>
        </is>
      </c>
      <c r="B5" s="9" t="n">
        <v>46120</v>
      </c>
      <c r="C5" s="7" t="inlineStr">
        <is>
          <t>P-04</t>
        </is>
      </c>
      <c r="D5" s="7" t="inlineStr">
        <is>
          <t>Data platform</t>
        </is>
      </c>
      <c r="E5" s="7" t="inlineStr">
        <is>
          <t>One-way migration with no rollback</t>
        </is>
      </c>
      <c r="F5" s="7" t="inlineStr">
        <is>
          <t>Source system decommissioned same weekend</t>
        </is>
      </c>
      <c r="G5" s="7" t="inlineStr">
        <is>
          <t>Board</t>
        </is>
      </c>
      <c r="H5" s="9" t="n">
        <v>46142</v>
      </c>
      <c r="I5" s="7">
        <f>IF(H5="","",H5-DATE(2026,6,30))</f>
        <v/>
      </c>
      <c r="J5" s="7" t="inlineStr">
        <is>
          <t>Closed</t>
        </is>
      </c>
    </row>
    <row r="6">
      <c r="A6" s="7" t="inlineStr">
        <is>
          <t>EXC-05</t>
        </is>
      </c>
      <c r="B6" s="9" t="n">
        <v>46162</v>
      </c>
      <c r="C6" s="7" t="inlineStr">
        <is>
          <t>P-07</t>
        </is>
      </c>
      <c r="D6" s="7" t="inlineStr">
        <is>
          <t>Internal tools</t>
        </is>
      </c>
      <c r="E6" s="7" t="inlineStr">
        <is>
          <t>Logging omitted on an internal status flow</t>
        </is>
      </c>
      <c r="F6" s="7" t="inlineStr">
        <is>
          <t>Volume made per-event logging disproportionate</t>
        </is>
      </c>
      <c r="G6" s="7" t="inlineStr">
        <is>
          <t>Compliance lead</t>
        </is>
      </c>
      <c r="H6" s="9" t="n">
        <v>46346</v>
      </c>
      <c r="I6" s="7">
        <f>IF(H6="","",H6-DATE(2026,6,30))</f>
        <v/>
      </c>
      <c r="J6" s="7" t="inlineStr">
        <is>
          <t>Open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11">
        <f>IF(H7="","",H7-DATE(2026,6,30))</f>
        <v/>
      </c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11">
        <f>IF(H8="","",H8-DATE(2026,6,30))</f>
        <v/>
      </c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11">
        <f>IF(H9="","",H9-DATE(2026,6,30))</f>
        <v/>
      </c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11">
        <f>IF(H10="","",H10-DATE(2026,6,30))</f>
        <v/>
      </c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11">
        <f>IF(H11="","",H11-DATE(2026,6,30))</f>
        <v/>
      </c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11">
        <f>IF(H12="","",H12-DATE(2026,6,30))</f>
        <v/>
      </c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11">
        <f>IF(H13="","",H13-DATE(2026,6,30))</f>
        <v/>
      </c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11">
        <f>IF(H14="","",H14-DATE(2026,6,30))</f>
        <v/>
      </c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11">
        <f>IF(H15="","",H15-DATE(2026,6,30))</f>
        <v/>
      </c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11">
        <f>IF(H16="","",H16-DATE(2026,6,30))</f>
        <v/>
      </c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11">
        <f>IF(H17="","",H17-DATE(2026,6,30))</f>
        <v/>
      </c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11">
        <f>IF(H18="","",H18-DATE(2026,6,30))</f>
        <v/>
      </c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11">
        <f>IF(H19="","",H19-DATE(2026,6,30))</f>
        <v/>
      </c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1">
        <f>IF(H20="","",H20-DATE(2026,6,30))</f>
        <v/>
      </c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11">
        <f>IF(H21="","",H21-DATE(2026,6,30))</f>
        <v/>
      </c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11">
        <f>IF(H22="","",H22-DATE(2026,6,30))</f>
        <v/>
      </c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11">
        <f>IF(H23="","",H23-DATE(2026,6,30))</f>
        <v/>
      </c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11">
        <f>IF(H24="","",H24-DATE(2026,6,30))</f>
        <v/>
      </c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11">
        <f>IF(H25="","",H25-DATE(2026,6,30))</f>
        <v/>
      </c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11">
        <f>IF(H26="","",H26-DATE(2026,6,30))</f>
        <v/>
      </c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11">
        <f>IF(H27="","",H27-DATE(2026,6,30))</f>
        <v/>
      </c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11">
        <f>IF(H28="","",H28-DATE(2026,6,30))</f>
        <v/>
      </c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11">
        <f>IF(H29="","",H29-DATE(2026,6,30))</f>
        <v/>
      </c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11">
        <f>IF(H30="","",H30-DATE(2026,6,30))</f>
        <v/>
      </c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11">
        <f>IF(H31="","",H31-DATE(2026,6,30))</f>
        <v/>
      </c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11">
        <f>IF(H32="","",H32-DATE(2026,6,30))</f>
        <v/>
      </c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11">
        <f>IF(H33="","",H33-DATE(2026,6,30))</f>
        <v/>
      </c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11">
        <f>IF(H34="","",H34-DATE(2026,6,30))</f>
        <v/>
      </c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11">
        <f>IF(H35="","",H35-DATE(2026,6,30))</f>
        <v/>
      </c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11">
        <f>IF(H36="","",H36-DATE(2026,6,30))</f>
        <v/>
      </c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11">
        <f>IF(H37="","",H37-DATE(2026,6,30))</f>
        <v/>
      </c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11">
        <f>IF(H38="","",H38-DATE(2026,6,30))</f>
        <v/>
      </c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11">
        <f>IF(H39="","",H39-DATE(2026,6,30))</f>
        <v/>
      </c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11">
        <f>IF(H40="","",H40-DATE(2026,6,30))</f>
        <v/>
      </c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11">
        <f>IF(H41="","",H41-DATE(2026,6,30))</f>
        <v/>
      </c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11">
        <f>IF(H42="","",H42-DATE(2026,6,30))</f>
        <v/>
      </c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11">
        <f>IF(H43="","",H43-DATE(2026,6,30))</f>
        <v/>
      </c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11">
        <f>IF(H44="","",H44-DATE(2026,6,30))</f>
        <v/>
      </c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11">
        <f>IF(H45="","",H45-DATE(2026,6,30))</f>
        <v/>
      </c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11">
        <f>IF(H46="","",H46-DATE(2026,6,30))</f>
        <v/>
      </c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11">
        <f>IF(H47="","",H47-DATE(2026,6,30))</f>
        <v/>
      </c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11">
        <f>IF(H48="","",H48-DATE(2026,6,30))</f>
        <v/>
      </c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11">
        <f>IF(H49="","",H49-DATE(2026,6,30))</f>
        <v/>
      </c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11">
        <f>IF(H50="","",H50-DATE(2026,6,30))</f>
        <v/>
      </c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11">
        <f>IF(H51="","",H51-DATE(2026,6,30))</f>
        <v/>
      </c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11">
        <f>IF(H52="","",H52-DATE(2026,6,30))</f>
        <v/>
      </c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11">
        <f>IF(H53="","",H53-DATE(2026,6,30))</f>
        <v/>
      </c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11">
        <f>IF(H54="","",H54-DATE(2026,6,30))</f>
        <v/>
      </c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11">
        <f>IF(H55="","",H55-DATE(2026,6,30))</f>
        <v/>
      </c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11">
        <f>IF(H56="","",H56-DATE(2026,6,30))</f>
        <v/>
      </c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11">
        <f>IF(H57="","",H57-DATE(2026,6,30))</f>
        <v/>
      </c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11">
        <f>IF(H58="","",H58-DATE(2026,6,30))</f>
        <v/>
      </c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11">
        <f>IF(H59="","",H59-DATE(2026,6,30))</f>
        <v/>
      </c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11">
        <f>IF(H60="","",H60-DATE(2026,6,30))</f>
        <v/>
      </c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11">
        <f>IF(H61="","",H61-DATE(2026,6,30))</f>
        <v/>
      </c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11">
        <f>IF(H62="","",H62-DATE(2026,6,30))</f>
        <v/>
      </c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11">
        <f>IF(H63="","",H63-DATE(2026,6,30))</f>
        <v/>
      </c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11">
        <f>IF(H64="","",H64-DATE(2026,6,30))</f>
        <v/>
      </c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11">
        <f>IF(H65="","",H65-DATE(2026,6,30))</f>
        <v/>
      </c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11">
        <f>IF(H66="","",H66-DATE(2026,6,30))</f>
        <v/>
      </c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11">
        <f>IF(H67="","",H67-DATE(2026,6,30))</f>
        <v/>
      </c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11">
        <f>IF(H68="","",H68-DATE(2026,6,30))</f>
        <v/>
      </c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11">
        <f>IF(H69="","",H69-DATE(2026,6,30))</f>
        <v/>
      </c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11">
        <f>IF(H70="","",H70-DATE(2026,6,30))</f>
        <v/>
      </c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11">
        <f>IF(H71="","",H71-DATE(2026,6,30))</f>
        <v/>
      </c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11">
        <f>IF(H72="","",H72-DATE(2026,6,30))</f>
        <v/>
      </c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11">
        <f>IF(H73="","",H73-DATE(2026,6,30))</f>
        <v/>
      </c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11">
        <f>IF(H74="","",H74-DATE(2026,6,30))</f>
        <v/>
      </c>
      <c r="J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11">
        <f>IF(H75="","",H75-DATE(2026,6,30))</f>
        <v/>
      </c>
      <c r="J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11">
        <f>IF(H76="","",H76-DATE(2026,6,30))</f>
        <v/>
      </c>
      <c r="J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11">
        <f>IF(H77="","",H77-DATE(2026,6,30))</f>
        <v/>
      </c>
      <c r="J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11">
        <f>IF(H78="","",H78-DATE(2026,6,30))</f>
        <v/>
      </c>
      <c r="J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11">
        <f>IF(H79="","",H79-DATE(2026,6,30))</f>
        <v/>
      </c>
      <c r="J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11">
        <f>IF(H80="","",H80-DATE(2026,6,30))</f>
        <v/>
      </c>
      <c r="J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11">
        <f>IF(H81="","",H81-DATE(2026,6,30))</f>
        <v/>
      </c>
      <c r="J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11">
        <f>IF(H82="","",H82-DATE(2026,6,30))</f>
        <v/>
      </c>
      <c r="J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11">
        <f>IF(H83="","",H83-DATE(2026,6,30))</f>
        <v/>
      </c>
      <c r="J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11">
        <f>IF(H84="","",H84-DATE(2026,6,30))</f>
        <v/>
      </c>
      <c r="J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11">
        <f>IF(H85="","",H85-DATE(2026,6,30))</f>
        <v/>
      </c>
      <c r="J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11">
        <f>IF(H86="","",H86-DATE(2026,6,30))</f>
        <v/>
      </c>
      <c r="J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11">
        <f>IF(H87="","",H87-DATE(2026,6,30))</f>
        <v/>
      </c>
      <c r="J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11">
        <f>IF(H88="","",H88-DATE(2026,6,30))</f>
        <v/>
      </c>
      <c r="J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11">
        <f>IF(H89="","",H89-DATE(2026,6,30))</f>
        <v/>
      </c>
      <c r="J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11">
        <f>IF(H90="","",H90-DATE(2026,6,30))</f>
        <v/>
      </c>
      <c r="J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11">
        <f>IF(H91="","",H91-DATE(2026,6,30))</f>
        <v/>
      </c>
      <c r="J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11">
        <f>IF(H92="","",H92-DATE(2026,6,30))</f>
        <v/>
      </c>
      <c r="J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11">
        <f>IF(H93="","",H93-DATE(2026,6,30))</f>
        <v/>
      </c>
      <c r="J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11">
        <f>IF(H94="","",H94-DATE(2026,6,30))</f>
        <v/>
      </c>
      <c r="J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11">
        <f>IF(H95="","",H95-DATE(2026,6,30))</f>
        <v/>
      </c>
      <c r="J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11">
        <f>IF(H96="","",H96-DATE(2026,6,30))</f>
        <v/>
      </c>
      <c r="J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11">
        <f>IF(H97="","",H97-DATE(2026,6,30))</f>
        <v/>
      </c>
      <c r="J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11">
        <f>IF(H98="","",H98-DATE(2026,6,30))</f>
        <v/>
      </c>
      <c r="J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11">
        <f>IF(H99="","",H99-DATE(2026,6,30))</f>
        <v/>
      </c>
      <c r="J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11">
        <f>IF(H100="","",H100-DATE(2026,6,30))</f>
        <v/>
      </c>
      <c r="J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11">
        <f>IF(H101="","",H101-DATE(2026,6,30))</f>
        <v/>
      </c>
      <c r="J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11">
        <f>IF(H102="","",H102-DATE(2026,6,30))</f>
        <v/>
      </c>
      <c r="J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11">
        <f>IF(H103="","",H103-DATE(2026,6,30))</f>
        <v/>
      </c>
      <c r="J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11">
        <f>IF(H104="","",H104-DATE(2026,6,30))</f>
        <v/>
      </c>
      <c r="J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11">
        <f>IF(H105="","",H105-DATE(2026,6,30))</f>
        <v/>
      </c>
      <c r="J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11">
        <f>IF(H106="","",H106-DATE(2026,6,30))</f>
        <v/>
      </c>
      <c r="J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11">
        <f>IF(H107="","",H107-DATE(2026,6,30))</f>
        <v/>
      </c>
      <c r="J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11">
        <f>IF(H108="","",H108-DATE(2026,6,30))</f>
        <v/>
      </c>
      <c r="J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11">
        <f>IF(H109="","",H109-DATE(2026,6,30))</f>
        <v/>
      </c>
      <c r="J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11">
        <f>IF(H110="","",H110-DATE(2026,6,30))</f>
        <v/>
      </c>
      <c r="J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11">
        <f>IF(H111="","",H111-DATE(2026,6,30))</f>
        <v/>
      </c>
      <c r="J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11">
        <f>IF(H112="","",H112-DATE(2026,6,30))</f>
        <v/>
      </c>
      <c r="J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11">
        <f>IF(H113="","",H113-DATE(2026,6,30))</f>
        <v/>
      </c>
      <c r="J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11">
        <f>IF(H114="","",H114-DATE(2026,6,30))</f>
        <v/>
      </c>
      <c r="J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11">
        <f>IF(H115="","",H115-DATE(2026,6,30))</f>
        <v/>
      </c>
      <c r="J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11">
        <f>IF(H116="","",H116-DATE(2026,6,30))</f>
        <v/>
      </c>
      <c r="J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11">
        <f>IF(H117="","",H117-DATE(2026,6,30))</f>
        <v/>
      </c>
      <c r="J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11">
        <f>IF(H118="","",H118-DATE(2026,6,30))</f>
        <v/>
      </c>
      <c r="J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11">
        <f>IF(H119="","",H119-DATE(2026,6,30))</f>
        <v/>
      </c>
      <c r="J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11">
        <f>IF(H120="","",H120-DATE(2026,6,30))</f>
        <v/>
      </c>
      <c r="J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11">
        <f>IF(H121="","",H121-DATE(2026,6,30))</f>
        <v/>
      </c>
      <c r="J121" s="8" t="n"/>
    </row>
    <row r="123">
      <c r="A123" s="10" t="inlineStr">
        <is>
          <t>Change the date in column I to your own as-at date, or point it at a Settings cell.</t>
        </is>
      </c>
    </row>
  </sheetData>
  <conditionalFormatting sqref="I2:I121">
    <cfRule type="cellIs" priority="1" operator="lessThan" dxfId="1">
      <formula>0</formula>
    </cfRule>
  </conditionalFormatting>
  <dataValidations count="1">
    <dataValidation sqref="J2:J121" showDropDown="0" showInputMessage="0" showErrorMessage="0" allowBlank="1" type="list">
      <formula1>=Lists!$E$1:$E$4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14" customWidth="1" min="5" max="5"/>
    <col width="26" customWidth="1" min="6" max="6"/>
    <col width="54" customWidth="1" min="7" max="7"/>
  </cols>
  <sheetData>
    <row r="1">
      <c r="A1" s="6" t="inlineStr">
        <is>
          <t>ID</t>
        </is>
      </c>
      <c r="B1" s="6" t="inlineStr">
        <is>
          <t>Statement</t>
        </is>
      </c>
      <c r="C1" s="6" t="inlineStr">
        <is>
          <t>Citations</t>
        </is>
      </c>
      <c r="D1" s="6" t="inlineStr">
        <is>
          <t>Exceptions</t>
        </is>
      </c>
      <c r="E1" s="6" t="inlineStr">
        <is>
          <t>Open exceptions</t>
        </is>
      </c>
      <c r="F1" s="6" t="inlineStr">
        <is>
          <t>Verdict</t>
        </is>
      </c>
      <c r="G1" s="6" t="inlineStr">
        <is>
          <t>What to do</t>
        </is>
      </c>
    </row>
    <row r="2" ht="42" customHeight="1">
      <c r="A2" s="12">
        <f>IF(Principles!A2="","",Principles!A2)</f>
        <v/>
      </c>
      <c r="B2" s="7">
        <f>IF(Principles!A2="","",Principles!B2)</f>
        <v/>
      </c>
      <c r="C2" s="7">
        <f>IF(A2="","",COUNTIF(Citations!$C$2:$C$201,A2))</f>
        <v/>
      </c>
      <c r="D2" s="7">
        <f>IF(A2="","",COUNTIF(Exceptions!$C$2:$C$121,A2))</f>
        <v/>
      </c>
      <c r="E2" s="7">
        <f>IF(A2="","",COUNTIFS(Exceptions!$C$2:$C$121,A2,Exceptions!$J$2:$J$121,"Open"))</f>
        <v/>
      </c>
      <c r="F2" s="12">
        <f>IF(A2="","",IF(AND(C2=0,D2=0),"Decorative - retire",IF(AND(C2&gt;0,D2=0),"Held without exception",IF(E2&gt;2,"Contested - reword or accept","Working"))))</f>
        <v/>
      </c>
      <c r="G2" s="7">
        <f>IF(A2="","",IF(AND(C2=0,D2=0),"Nobody cited it and nobody deviated from it. Either the behaviour is now normal, or it never bit. Retire it at this review",IF(AND(C2&gt;0,D2=0),"Check it is not simply restating what people would do anyway",IF(E2&gt;2,"Three or more open exceptions means the principle is describing an intention rather than a rule. Reword it or accept the reality","Leave it alone"))))</f>
        <v/>
      </c>
    </row>
    <row r="3" ht="42" customHeight="1">
      <c r="A3" s="12">
        <f>IF(Principles!A3="","",Principles!A3)</f>
        <v/>
      </c>
      <c r="B3" s="7">
        <f>IF(Principles!A3="","",Principles!B3)</f>
        <v/>
      </c>
      <c r="C3" s="7">
        <f>IF(A3="","",COUNTIF(Citations!$C$2:$C$201,A3))</f>
        <v/>
      </c>
      <c r="D3" s="7">
        <f>IF(A3="","",COUNTIF(Exceptions!$C$2:$C$121,A3))</f>
        <v/>
      </c>
      <c r="E3" s="7">
        <f>IF(A3="","",COUNTIFS(Exceptions!$C$2:$C$121,A3,Exceptions!$J$2:$J$121,"Open"))</f>
        <v/>
      </c>
      <c r="F3" s="12">
        <f>IF(A3="","",IF(AND(C3=0,D3=0),"Decorative - retire",IF(AND(C3&gt;0,D3=0),"Held without exception",IF(E3&gt;2,"Contested - reword or accept","Working"))))</f>
        <v/>
      </c>
      <c r="G3" s="7">
        <f>IF(A3="","",IF(AND(C3=0,D3=0),"Nobody cited it and nobody deviated from it. Either the behaviour is now normal, or it never bit. Retire it at this review",IF(AND(C3&gt;0,D3=0),"Check it is not simply restating what people would do anyway",IF(E3&gt;2,"Three or more open exceptions means the principle is describing an intention rather than a rule. Reword it or accept the reality","Leave it alone"))))</f>
        <v/>
      </c>
    </row>
    <row r="4" ht="42" customHeight="1">
      <c r="A4" s="12">
        <f>IF(Principles!A4="","",Principles!A4)</f>
        <v/>
      </c>
      <c r="B4" s="7">
        <f>IF(Principles!A4="","",Principles!B4)</f>
        <v/>
      </c>
      <c r="C4" s="7">
        <f>IF(A4="","",COUNTIF(Citations!$C$2:$C$201,A4))</f>
        <v/>
      </c>
      <c r="D4" s="7">
        <f>IF(A4="","",COUNTIF(Exceptions!$C$2:$C$121,A4))</f>
        <v/>
      </c>
      <c r="E4" s="7">
        <f>IF(A4="","",COUNTIFS(Exceptions!$C$2:$C$121,A4,Exceptions!$J$2:$J$121,"Open"))</f>
        <v/>
      </c>
      <c r="F4" s="12">
        <f>IF(A4="","",IF(AND(C4=0,D4=0),"Decorative - retire",IF(AND(C4&gt;0,D4=0),"Held without exception",IF(E4&gt;2,"Contested - reword or accept","Working"))))</f>
        <v/>
      </c>
      <c r="G4" s="7">
        <f>IF(A4="","",IF(AND(C4=0,D4=0),"Nobody cited it and nobody deviated from it. Either the behaviour is now normal, or it never bit. Retire it at this review",IF(AND(C4&gt;0,D4=0),"Check it is not simply restating what people would do anyway",IF(E4&gt;2,"Three or more open exceptions means the principle is describing an intention rather than a rule. Reword it or accept the reality","Leave it alone"))))</f>
        <v/>
      </c>
    </row>
    <row r="5" ht="42" customHeight="1">
      <c r="A5" s="12">
        <f>IF(Principles!A5="","",Principles!A5)</f>
        <v/>
      </c>
      <c r="B5" s="7">
        <f>IF(Principles!A5="","",Principles!B5)</f>
        <v/>
      </c>
      <c r="C5" s="7">
        <f>IF(A5="","",COUNTIF(Citations!$C$2:$C$201,A5))</f>
        <v/>
      </c>
      <c r="D5" s="7">
        <f>IF(A5="","",COUNTIF(Exceptions!$C$2:$C$121,A5))</f>
        <v/>
      </c>
      <c r="E5" s="7">
        <f>IF(A5="","",COUNTIFS(Exceptions!$C$2:$C$121,A5,Exceptions!$J$2:$J$121,"Open"))</f>
        <v/>
      </c>
      <c r="F5" s="12">
        <f>IF(A5="","",IF(AND(C5=0,D5=0),"Decorative - retire",IF(AND(C5&gt;0,D5=0),"Held without exception",IF(E5&gt;2,"Contested - reword or accept","Working"))))</f>
        <v/>
      </c>
      <c r="G5" s="7">
        <f>IF(A5="","",IF(AND(C5=0,D5=0),"Nobody cited it and nobody deviated from it. Either the behaviour is now normal, or it never bit. Retire it at this review",IF(AND(C5&gt;0,D5=0),"Check it is not simply restating what people would do anyway",IF(E5&gt;2,"Three or more open exceptions means the principle is describing an intention rather than a rule. Reword it or accept the reality","Leave it alone"))))</f>
        <v/>
      </c>
    </row>
    <row r="6" ht="42" customHeight="1">
      <c r="A6" s="12">
        <f>IF(Principles!A6="","",Principles!A6)</f>
        <v/>
      </c>
      <c r="B6" s="7">
        <f>IF(Principles!A6="","",Principles!B6)</f>
        <v/>
      </c>
      <c r="C6" s="7">
        <f>IF(A6="","",COUNTIF(Citations!$C$2:$C$201,A6))</f>
        <v/>
      </c>
      <c r="D6" s="7">
        <f>IF(A6="","",COUNTIF(Exceptions!$C$2:$C$121,A6))</f>
        <v/>
      </c>
      <c r="E6" s="7">
        <f>IF(A6="","",COUNTIFS(Exceptions!$C$2:$C$121,A6,Exceptions!$J$2:$J$121,"Open"))</f>
        <v/>
      </c>
      <c r="F6" s="12">
        <f>IF(A6="","",IF(AND(C6=0,D6=0),"Decorative - retire",IF(AND(C6&gt;0,D6=0),"Held without exception",IF(E6&gt;2,"Contested - reword or accept","Working"))))</f>
        <v/>
      </c>
      <c r="G6" s="7">
        <f>IF(A6="","",IF(AND(C6=0,D6=0),"Nobody cited it and nobody deviated from it. Either the behaviour is now normal, or it never bit. Retire it at this review",IF(AND(C6&gt;0,D6=0),"Check it is not simply restating what people would do anyway",IF(E6&gt;2,"Three or more open exceptions means the principle is describing an intention rather than a rule. Reword it or accept the reality","Leave it alone"))))</f>
        <v/>
      </c>
    </row>
    <row r="7" ht="42" customHeight="1">
      <c r="A7" s="12">
        <f>IF(Principles!A7="","",Principles!A7)</f>
        <v/>
      </c>
      <c r="B7" s="7">
        <f>IF(Principles!A7="","",Principles!B7)</f>
        <v/>
      </c>
      <c r="C7" s="7">
        <f>IF(A7="","",COUNTIF(Citations!$C$2:$C$201,A7))</f>
        <v/>
      </c>
      <c r="D7" s="7">
        <f>IF(A7="","",COUNTIF(Exceptions!$C$2:$C$121,A7))</f>
        <v/>
      </c>
      <c r="E7" s="7">
        <f>IF(A7="","",COUNTIFS(Exceptions!$C$2:$C$121,A7,Exceptions!$J$2:$J$121,"Open"))</f>
        <v/>
      </c>
      <c r="F7" s="12">
        <f>IF(A7="","",IF(AND(C7=0,D7=0),"Decorative - retire",IF(AND(C7&gt;0,D7=0),"Held without exception",IF(E7&gt;2,"Contested - reword or accept","Working"))))</f>
        <v/>
      </c>
      <c r="G7" s="7">
        <f>IF(A7="","",IF(AND(C7=0,D7=0),"Nobody cited it and nobody deviated from it. Either the behaviour is now normal, or it never bit. Retire it at this review",IF(AND(C7&gt;0,D7=0),"Check it is not simply restating what people would do anyway",IF(E7&gt;2,"Three or more open exceptions means the principle is describing an intention rather than a rule. Reword it or accept the reality","Leave it alone"))))</f>
        <v/>
      </c>
    </row>
    <row r="8" ht="42" customHeight="1">
      <c r="A8" s="12">
        <f>IF(Principles!A8="","",Principles!A8)</f>
        <v/>
      </c>
      <c r="B8" s="7">
        <f>IF(Principles!A8="","",Principles!B8)</f>
        <v/>
      </c>
      <c r="C8" s="7">
        <f>IF(A8="","",COUNTIF(Citations!$C$2:$C$201,A8))</f>
        <v/>
      </c>
      <c r="D8" s="7">
        <f>IF(A8="","",COUNTIF(Exceptions!$C$2:$C$121,A8))</f>
        <v/>
      </c>
      <c r="E8" s="7">
        <f>IF(A8="","",COUNTIFS(Exceptions!$C$2:$C$121,A8,Exceptions!$J$2:$J$121,"Open"))</f>
        <v/>
      </c>
      <c r="F8" s="12">
        <f>IF(A8="","",IF(AND(C8=0,D8=0),"Decorative - retire",IF(AND(C8&gt;0,D8=0),"Held without exception",IF(E8&gt;2,"Contested - reword or accept","Working"))))</f>
        <v/>
      </c>
      <c r="G8" s="7">
        <f>IF(A8="","",IF(AND(C8=0,D8=0),"Nobody cited it and nobody deviated from it. Either the behaviour is now normal, or it never bit. Retire it at this review",IF(AND(C8&gt;0,D8=0),"Check it is not simply restating what people would do anyway",IF(E8&gt;2,"Three or more open exceptions means the principle is describing an intention rather than a rule. Reword it or accept the reality","Leave it alone"))))</f>
        <v/>
      </c>
    </row>
    <row r="9" ht="42" customHeight="1">
      <c r="A9" s="12">
        <f>IF(Principles!A9="","",Principles!A9)</f>
        <v/>
      </c>
      <c r="B9" s="7">
        <f>IF(Principles!A9="","",Principles!B9)</f>
        <v/>
      </c>
      <c r="C9" s="7">
        <f>IF(A9="","",COUNTIF(Citations!$C$2:$C$201,A9))</f>
        <v/>
      </c>
      <c r="D9" s="7">
        <f>IF(A9="","",COUNTIF(Exceptions!$C$2:$C$121,A9))</f>
        <v/>
      </c>
      <c r="E9" s="7">
        <f>IF(A9="","",COUNTIFS(Exceptions!$C$2:$C$121,A9,Exceptions!$J$2:$J$121,"Open"))</f>
        <v/>
      </c>
      <c r="F9" s="12">
        <f>IF(A9="","",IF(AND(C9=0,D9=0),"Decorative - retire",IF(AND(C9&gt;0,D9=0),"Held without exception",IF(E9&gt;2,"Contested - reword or accept","Working"))))</f>
        <v/>
      </c>
      <c r="G9" s="7">
        <f>IF(A9="","",IF(AND(C9=0,D9=0),"Nobody cited it and nobody deviated from it. Either the behaviour is now normal, or it never bit. Retire it at this review",IF(AND(C9&gt;0,D9=0),"Check it is not simply restating what people would do anyway",IF(E9&gt;2,"Three or more open exceptions means the principle is describing an intention rather than a rule. Reword it or accept the reality","Leave it alone"))))</f>
        <v/>
      </c>
    </row>
    <row r="10" ht="42" customHeight="1">
      <c r="A10" s="12">
        <f>IF(Principles!A10="","",Principles!A10)</f>
        <v/>
      </c>
      <c r="B10" s="7">
        <f>IF(Principles!A10="","",Principles!B10)</f>
        <v/>
      </c>
      <c r="C10" s="7">
        <f>IF(A10="","",COUNTIF(Citations!$C$2:$C$201,A10))</f>
        <v/>
      </c>
      <c r="D10" s="7">
        <f>IF(A10="","",COUNTIF(Exceptions!$C$2:$C$121,A10))</f>
        <v/>
      </c>
      <c r="E10" s="7">
        <f>IF(A10="","",COUNTIFS(Exceptions!$C$2:$C$121,A10,Exceptions!$J$2:$J$121,"Open"))</f>
        <v/>
      </c>
      <c r="F10" s="12">
        <f>IF(A10="","",IF(AND(C10=0,D10=0),"Decorative - retire",IF(AND(C10&gt;0,D10=0),"Held without exception",IF(E10&gt;2,"Contested - reword or accept","Working"))))</f>
        <v/>
      </c>
      <c r="G10" s="7">
        <f>IF(A10="","",IF(AND(C10=0,D10=0),"Nobody cited it and nobody deviated from it. Either the behaviour is now normal, or it never bit. Retire it at this review",IF(AND(C10&gt;0,D10=0),"Check it is not simply restating what people would do anyway",IF(E10&gt;2,"Three or more open exceptions means the principle is describing an intention rather than a rule. Reword it or accept the reality","Leave it alone"))))</f>
        <v/>
      </c>
    </row>
    <row r="11" ht="42" customHeight="1">
      <c r="A11" s="12">
        <f>IF(Principles!A11="","",Principles!A11)</f>
        <v/>
      </c>
      <c r="B11" s="7">
        <f>IF(Principles!A11="","",Principles!B11)</f>
        <v/>
      </c>
      <c r="C11" s="7">
        <f>IF(A11="","",COUNTIF(Citations!$C$2:$C$201,A11))</f>
        <v/>
      </c>
      <c r="D11" s="7">
        <f>IF(A11="","",COUNTIF(Exceptions!$C$2:$C$121,A11))</f>
        <v/>
      </c>
      <c r="E11" s="7">
        <f>IF(A11="","",COUNTIFS(Exceptions!$C$2:$C$121,A11,Exceptions!$J$2:$J$121,"Open"))</f>
        <v/>
      </c>
      <c r="F11" s="12">
        <f>IF(A11="","",IF(AND(C11=0,D11=0),"Decorative - retire",IF(AND(C11&gt;0,D11=0),"Held without exception",IF(E11&gt;2,"Contested - reword or accept","Working"))))</f>
        <v/>
      </c>
      <c r="G11" s="7">
        <f>IF(A11="","",IF(AND(C11=0,D11=0),"Nobody cited it and nobody deviated from it. Either the behaviour is now normal, or it never bit. Retire it at this review",IF(AND(C11&gt;0,D11=0),"Check it is not simply restating what people would do anyway",IF(E11&gt;2,"Three or more open exceptions means the principle is describing an intention rather than a rule. Reword it or accept the reality","Leave it alone"))))</f>
        <v/>
      </c>
    </row>
    <row r="12" ht="42" customHeight="1">
      <c r="A12" s="12">
        <f>IF(Principles!A12="","",Principles!A12)</f>
        <v/>
      </c>
      <c r="B12" s="7">
        <f>IF(Principles!A12="","",Principles!B12)</f>
        <v/>
      </c>
      <c r="C12" s="7">
        <f>IF(A12="","",COUNTIF(Citations!$C$2:$C$201,A12))</f>
        <v/>
      </c>
      <c r="D12" s="7">
        <f>IF(A12="","",COUNTIF(Exceptions!$C$2:$C$121,A12))</f>
        <v/>
      </c>
      <c r="E12" s="7">
        <f>IF(A12="","",COUNTIFS(Exceptions!$C$2:$C$121,A12,Exceptions!$J$2:$J$121,"Open"))</f>
        <v/>
      </c>
      <c r="F12" s="12">
        <f>IF(A12="","",IF(AND(C12=0,D12=0),"Decorative - retire",IF(AND(C12&gt;0,D12=0),"Held without exception",IF(E12&gt;2,"Contested - reword or accept","Working"))))</f>
        <v/>
      </c>
      <c r="G12" s="7">
        <f>IF(A12="","",IF(AND(C12=0,D12=0),"Nobody cited it and nobody deviated from it. Either the behaviour is now normal, or it never bit. Retire it at this review",IF(AND(C12&gt;0,D12=0),"Check it is not simply restating what people would do anyway",IF(E12&gt;2,"Three or more open exceptions means the principle is describing an intention rather than a rule. Reword it or accept the reality","Leave it alone"))))</f>
        <v/>
      </c>
    </row>
    <row r="13" ht="42" customHeight="1">
      <c r="A13" s="12">
        <f>IF(Principles!A13="","",Principles!A13)</f>
        <v/>
      </c>
      <c r="B13" s="7">
        <f>IF(Principles!A13="","",Principles!B13)</f>
        <v/>
      </c>
      <c r="C13" s="7">
        <f>IF(A13="","",COUNTIF(Citations!$C$2:$C$201,A13))</f>
        <v/>
      </c>
      <c r="D13" s="7">
        <f>IF(A13="","",COUNTIF(Exceptions!$C$2:$C$121,A13))</f>
        <v/>
      </c>
      <c r="E13" s="7">
        <f>IF(A13="","",COUNTIFS(Exceptions!$C$2:$C$121,A13,Exceptions!$J$2:$J$121,"Open"))</f>
        <v/>
      </c>
      <c r="F13" s="12">
        <f>IF(A13="","",IF(AND(C13=0,D13=0),"Decorative - retire",IF(AND(C13&gt;0,D13=0),"Held without exception",IF(E13&gt;2,"Contested - reword or accept","Working"))))</f>
        <v/>
      </c>
      <c r="G13" s="7">
        <f>IF(A13="","",IF(AND(C13=0,D13=0),"Nobody cited it and nobody deviated from it. Either the behaviour is now normal, or it never bit. Retire it at this review",IF(AND(C13&gt;0,D13=0),"Check it is not simply restating what people would do anyway",IF(E13&gt;2,"Three or more open exceptions means the principle is describing an intention rather than a rule. Reword it or accept the reality","Leave it alone"))))</f>
        <v/>
      </c>
    </row>
    <row r="14" ht="42" customHeight="1">
      <c r="A14" s="12">
        <f>IF(Principles!A14="","",Principles!A14)</f>
        <v/>
      </c>
      <c r="B14" s="7">
        <f>IF(Principles!A14="","",Principles!B14)</f>
        <v/>
      </c>
      <c r="C14" s="7">
        <f>IF(A14="","",COUNTIF(Citations!$C$2:$C$201,A14))</f>
        <v/>
      </c>
      <c r="D14" s="7">
        <f>IF(A14="","",COUNTIF(Exceptions!$C$2:$C$121,A14))</f>
        <v/>
      </c>
      <c r="E14" s="7">
        <f>IF(A14="","",COUNTIFS(Exceptions!$C$2:$C$121,A14,Exceptions!$J$2:$J$121,"Open"))</f>
        <v/>
      </c>
      <c r="F14" s="12">
        <f>IF(A14="","",IF(AND(C14=0,D14=0),"Decorative - retire",IF(AND(C14&gt;0,D14=0),"Held without exception",IF(E14&gt;2,"Contested - reword or accept","Working"))))</f>
        <v/>
      </c>
      <c r="G14" s="7">
        <f>IF(A14="","",IF(AND(C14=0,D14=0),"Nobody cited it and nobody deviated from it. Either the behaviour is now normal, or it never bit. Retire it at this review",IF(AND(C14&gt;0,D14=0),"Check it is not simply restating what people would do anyway",IF(E14&gt;2,"Three or more open exceptions means the principle is describing an intention rather than a rule. Reword it or accept the reality","Leave it alone"))))</f>
        <v/>
      </c>
    </row>
    <row r="15" ht="42" customHeight="1">
      <c r="A15" s="12">
        <f>IF(Principles!A15="","",Principles!A15)</f>
        <v/>
      </c>
      <c r="B15" s="7">
        <f>IF(Principles!A15="","",Principles!B15)</f>
        <v/>
      </c>
      <c r="C15" s="7">
        <f>IF(A15="","",COUNTIF(Citations!$C$2:$C$201,A15))</f>
        <v/>
      </c>
      <c r="D15" s="7">
        <f>IF(A15="","",COUNTIF(Exceptions!$C$2:$C$121,A15))</f>
        <v/>
      </c>
      <c r="E15" s="7">
        <f>IF(A15="","",COUNTIFS(Exceptions!$C$2:$C$121,A15,Exceptions!$J$2:$J$121,"Open"))</f>
        <v/>
      </c>
      <c r="F15" s="12">
        <f>IF(A15="","",IF(AND(C15=0,D15=0),"Decorative - retire",IF(AND(C15&gt;0,D15=0),"Held without exception",IF(E15&gt;2,"Contested - reword or accept","Working"))))</f>
        <v/>
      </c>
      <c r="G15" s="7">
        <f>IF(A15="","",IF(AND(C15=0,D15=0),"Nobody cited it and nobody deviated from it. Either the behaviour is now normal, or it never bit. Retire it at this review",IF(AND(C15&gt;0,D15=0),"Check it is not simply restating what people would do anyway",IF(E15&gt;2,"Three or more open exceptions means the principle is describing an intention rather than a rule. Reword it or accept the reality","Leave it alone"))))</f>
        <v/>
      </c>
    </row>
    <row r="18">
      <c r="A18" s="10" t="inlineStr">
        <is>
          <t>A principle with zero citations and zero exceptions is not being used. That is a finding about the principle, not about the organization.</t>
        </is>
      </c>
    </row>
    <row r="19">
      <c r="A19" s="10" t="inlineStr">
        <is>
          <t>Read the whole set aloud once a year and ask the falsifiability question again. Both decay patterns - inflation and drift into virtue - happen during rewrites by people trying to be helpful.</t>
        </is>
      </c>
    </row>
  </sheetData>
  <conditionalFormatting sqref="F2:F15">
    <cfRule type="cellIs" priority="1" operator="equal" dxfId="1">
      <formula>"Decorative - retire"</formula>
    </cfRule>
    <cfRule type="cellIs" priority="2" operator="equal" dxfId="0">
      <formula>"Working"</formula>
    </cfRule>
    <cfRule type="cellIs" priority="3" operator="equal" dxfId="2">
      <formula>"Contested - reword or accept"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2026-08-11T10:54:35Z</dcterms:created>
  <dcterms:modified xmlns:dcterms="http://purl.org/dc/terms/" xmlns:xsi="http://www.w3.org/2001/XMLSchema-instance" xsi:type="dcterms:W3CDTF">2026-08-11T10:54:35Z</dcterms:modified>
</cp:coreProperties>
</file>
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Decisions in flight" sheetId="2" state="visible" r:id="rId2"/>
    <sheet xmlns:r="http://schemas.openxmlformats.org/officeDocument/2006/relationships" name="2 Workstreams" sheetId="3" state="visible" r:id="rId3"/>
    <sheet xmlns:r="http://schemas.openxmlformats.org/officeDocument/2006/relationships" name="3 Interfaces" sheetId="4" state="visible" r:id="rId4"/>
    <sheet xmlns:r="http://schemas.openxmlformats.org/officeDocument/2006/relationships" name="4 Landscape" sheetId="5" state="visible" r:id="rId5"/>
    <sheet xmlns:r="http://schemas.openxmlformats.org/officeDocument/2006/relationships" name="5 Impact notes" sheetId="6" state="visible" r:id="rId6"/>
    <sheet xmlns:r="http://schemas.openxmlformats.org/officeDocument/2006/relationships" name="6 Decision log" sheetId="7" state="visible" r:id="rId7"/>
    <sheet xmlns:r="http://schemas.openxmlformats.org/officeDocument/2006/relationships" name="7 Ninety day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mbria"/>
      <b val="1"/>
      <color rgb="001C1917"/>
      <sz val="16"/>
    </font>
    <font>
      <name val="Calibri"/>
      <i val="1"/>
      <color rgb="0057534E"/>
      <sz val="10"/>
    </font>
    <font>
      <name val="Calibri"/>
      <b val="1"/>
      <color rgb="0014606B"/>
      <sz val="9"/>
    </font>
    <font>
      <name val="Calibri"/>
      <color rgb="0057534E"/>
      <sz val="10"/>
    </font>
    <font>
      <name val="Calibri"/>
      <b val="1"/>
      <color rgb="00FFFFFF"/>
      <sz val="10"/>
    </font>
    <font>
      <name val="Calibri"/>
      <b val="1"/>
      <color rgb="001C1917"/>
      <sz val="10"/>
    </font>
    <font>
      <name val="Cambria"/>
      <b val="1"/>
      <color rgb="001C1917"/>
      <sz val="12"/>
    </font>
  </fonts>
  <fills count="3">
    <fill>
      <patternFill/>
    </fill>
    <fill>
      <patternFill patternType="gray125"/>
    </fill>
    <fill>
      <patternFill patternType="solid">
        <fgColor rgb="0014606B"/>
      </patternFill>
    </fill>
  </fills>
  <borders count="2">
    <border>
      <left/>
      <right/>
      <top/>
      <bottom/>
      <diagonal/>
    </border>
    <border>
      <left style="thin">
        <color rgb="00E4E0D7"/>
      </left>
      <right style="thin">
        <color rgb="00E4E0D7"/>
      </right>
      <top style="thin">
        <color rgb="00E4E0D7"/>
      </top>
      <bottom style="thin">
        <color rgb="00E4E0D7"/>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wrapText="1"/>
    </xf>
    <xf numFmtId="0" fontId="4" fillId="0" borderId="1" applyAlignment="1" pivotButton="0" quotePrefix="0" xfId="0">
      <alignment vertical="top" wrapText="1"/>
    </xf>
    <xf numFmtId="0" fontId="6" fillId="0" borderId="0" pivotButton="0" quotePrefix="0" xfId="0"/>
    <xf numFmtId="0" fontId="7" fillId="0" borderId="0" pivotButton="0" quotePrefix="0" xfId="0"/>
  </cellXfs>
  <cellStyles count="1">
    <cellStyle name="Normal" xfId="0" builtinId="0" hidden="0"/>
  </cellStyles>
  <dxfs count="5">
    <dxf>
      <font>
        <name val="Calibri"/>
        <b val="1"/>
        <color rgb="008A3B2E"/>
        <sz val="10"/>
      </font>
      <fill>
        <patternFill patternType="solid">
          <fgColor rgb="00F6E3E0"/>
        </patternFill>
      </fill>
    </dxf>
    <dxf>
      <font>
        <name val="Calibri"/>
        <b val="1"/>
        <color rgb="0014606B"/>
        <sz val="10"/>
      </font>
      <fill>
        <patternFill patternType="solid">
          <fgColor rgb="00DFEDE9"/>
        </patternFill>
      </fill>
    </dxf>
    <dxf>
      <font>
        <name val="Calibri"/>
        <b val="1"/>
        <color rgb="00B98A2E"/>
        <sz val="10"/>
      </font>
      <fill>
        <patternFill patternType="solid">
          <fgColor rgb="00FBF0DC"/>
        </patternFill>
      </fill>
    </dxf>
    <dxf>
      <font>
        <name val="Calibri"/>
        <color rgb="00B98A2E"/>
        <sz val="10"/>
      </font>
      <fill>
        <patternFill patternType="solid">
          <fgColor rgb="00FBF0DC"/>
        </patternFill>
      </fill>
    </dxf>
    <dxf>
      <fill>
        <patternFill patternType="solid">
          <fgColor rgb="00FBF0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4606B"/>
    <outlinePr summaryBelow="1" summaryRight="1"/>
    <pageSetUpPr/>
  </sheetPr>
  <dimension ref="A1:B11"/>
  <sheetViews>
    <sheetView showGridLines="0" workbookViewId="0">
      <selection activeCell="A1" sqref="A1"/>
    </sheetView>
  </sheetViews>
  <sheetFormatPr baseColWidth="8" defaultRowHeight="15"/>
  <cols>
    <col width="30" customWidth="1" min="1" max="1"/>
    <col width="104" customWidth="1" min="2" max="2"/>
  </cols>
  <sheetData>
    <row r="1" ht="24" customHeight="1">
      <c r="A1" s="1" t="inlineStr">
        <is>
          <t>Joining workbook</t>
        </is>
      </c>
    </row>
    <row r="2" ht="16" customHeight="1">
      <c r="A2" s="2" t="inlineStr">
        <is>
          <t>The first architect's working file: decisions in flight, workstreams, an interface-derived landscape, the impact notes you write, and the ninety-day plan.</t>
        </is>
      </c>
    </row>
    <row r="4" ht="42" customHeight="1">
      <c r="A4" s="3" t="inlineStr">
        <is>
          <t>What this is</t>
        </is>
      </c>
      <c r="B4" s="4" t="inlineStr">
        <is>
          <t>A working file for the first ninety days in an organization where enterprise architecture is new: no principles, no object model, no catalogue, no forum. It is deliberately a spreadsheet. A tool business case in month one is a temptation, not a plan.</t>
        </is>
      </c>
    </row>
    <row r="5" ht="56" customHeight="1">
      <c r="A5" s="3" t="inlineStr">
        <is>
          <t>Order of use</t>
        </is>
      </c>
      <c r="B5" s="4" t="inlineStr">
        <is>
          <t>1. Decisions in flight, filled from reading the board in week one. 2. Workstreams, same week. 3. Interfaces, after the integration conversation. 4. Landscape, derived from Interfaces. 5. Impact notes, from the nearest irreversible decision. 6. Ninety days, to keep yourself honest.</t>
        </is>
      </c>
    </row>
    <row r="6" ht="28" customHeight="1">
      <c r="A6" s="3" t="inlineStr">
        <is>
          <t>The rule behind it</t>
        </is>
      </c>
      <c r="B6" s="4" t="inlineStr">
        <is>
          <t>Start with the work in flight, not with the landscape. The landscape is what the work in flight is about to change, so the work tells you which part of the landscape matters.</t>
        </is>
      </c>
    </row>
    <row r="7" ht="28" customHeight="1">
      <c r="A7" s="3" t="inlineStr">
        <is>
          <t>Stable IDs</t>
        </is>
      </c>
      <c r="B7" s="4" t="inlineStr">
        <is>
          <t>APP-001, INT-001, DEC-001, IMP-001. Never reuse a retired ID. This is the only thing at this stage that is expensive to get wrong, because everything you build later joins on these.</t>
        </is>
      </c>
    </row>
    <row r="8" ht="28" customHeight="1">
      <c r="A8" s="3" t="inlineStr">
        <is>
          <t>Blank versus guess</t>
        </is>
      </c>
      <c r="B8" s="4" t="inlineStr">
        <is>
          <t>A blank owner is information. A guessed owner is a defect somebody will inherit and believe.</t>
        </is>
      </c>
    </row>
    <row r="9" ht="28" customHeight="1">
      <c r="A9" s="3" t="inlineStr">
        <is>
          <t>Colour</t>
        </is>
      </c>
      <c r="B9" s="4" t="inlineStr">
        <is>
          <t>Amber cells are the ones you are expected to fill. Formulas are left visible on purpose - nothing here is hidden and you should change any of it.</t>
        </is>
      </c>
    </row>
    <row r="10" ht="28" customHeight="1">
      <c r="A10" s="3" t="inlineStr">
        <is>
          <t>Companion</t>
        </is>
      </c>
      <c r="B10" s="4" t="inlineStr">
        <is>
          <t>The ninety-day pack (document) has the templates and the phrases. The worked artifacts deck shows a filled example of each output.</t>
        </is>
      </c>
    </row>
    <row r="11" ht="28" customHeight="1">
      <c r="A11" s="3" t="inlineStr">
        <is>
          <t>Source</t>
        </is>
      </c>
      <c r="B11" s="4" t="inlineStr">
        <is>
          <t>mehdibamou.com/publications/joining-as-the-first-architect - free to use and adapt.</t>
        </is>
      </c>
    </row>
  </sheetData>
  <pageMargins left="0.75" right="0.75" top="1" bottom="1" header="0.5" footer="0.5"/>
</worksheet>
</file>

<file path=xl/worksheets/sheet2.xml><?xml version="1.0" encoding="utf-8"?>
<worksheet xmlns="http://schemas.openxmlformats.org/spreadsheetml/2006/main">
  <sheetPr>
    <tabColor rgb="0014606B"/>
    <outlinePr summaryBelow="1" summaryRight="1"/>
    <pageSetUpPr/>
  </sheetPr>
  <dimension ref="A1:J45"/>
  <sheetViews>
    <sheetView showGridLines="0" workbookViewId="0">
      <pane ySplit="4" topLeftCell="A5" activePane="bottomLeft" state="frozen"/>
      <selection pane="bottomLeft" activeCell="A1" sqref="A1"/>
    </sheetView>
  </sheetViews>
  <sheetFormatPr baseColWidth="8" defaultRowHeight="15"/>
  <cols>
    <col width="8" customWidth="1" min="1" max="1"/>
    <col width="38" customWidth="1" min="2" max="2"/>
    <col width="20" customWidth="1" min="3" max="3"/>
    <col width="20" customWidth="1" min="4" max="4"/>
    <col width="13" customWidth="1" min="5" max="5"/>
    <col width="13" customWidth="1" min="6" max="6"/>
    <col width="15" customWidth="1" min="7" max="7"/>
    <col width="40" customWidth="1" min="8" max="8"/>
    <col width="26" customWidth="1" min="9" max="9"/>
    <col width="14" customWidth="1" min="10" max="10"/>
  </cols>
  <sheetData>
    <row r="1" ht="24" customHeight="1">
      <c r="A1" s="1" t="inlineStr">
        <is>
          <t>Decisions in flight</t>
        </is>
      </c>
    </row>
    <row r="2" ht="16" customHeight="1">
      <c r="A2" s="2" t="inlineStr">
        <is>
          <t>Week one output. Read every workstream and the last thirty days of comments. Five is enough. Do not offer an opinion on any of them yet.</t>
        </is>
      </c>
    </row>
    <row r="4" ht="30" customHeight="1">
      <c r="A4" s="5" t="inlineStr">
        <is>
          <t>ID</t>
        </is>
      </c>
      <c r="B4" s="5" t="inlineStr">
        <is>
          <t>Decision, as the project names it</t>
        </is>
      </c>
      <c r="C4" s="5" t="inlineStr">
        <is>
          <t>Workstream</t>
        </is>
      </c>
      <c r="D4" s="5" t="inlineStr">
        <is>
          <t>Who decides</t>
        </is>
      </c>
      <c r="E4" s="5" t="inlineStr">
        <is>
          <t>Decision by</t>
        </is>
      </c>
      <c r="F4" s="5" t="inlineStr">
        <is>
          <t>Reversible?</t>
        </is>
      </c>
      <c r="G4" s="5" t="inlineStr">
        <is>
          <t>Cost to unwind</t>
        </is>
      </c>
      <c r="H4" s="5" t="inlineStr">
        <is>
          <t>What it touches (first read)</t>
        </is>
      </c>
      <c r="I4" s="5" t="inlineStr">
        <is>
          <t>Do I have anything useful?</t>
        </is>
      </c>
      <c r="J4" s="5" t="inlineStr">
        <is>
          <t>Status</t>
        </is>
      </c>
    </row>
    <row r="5" ht="30" customHeight="1">
      <c r="A5" s="6" t="inlineStr">
        <is>
          <t>DEC-001</t>
        </is>
      </c>
      <c r="B5" s="6" t="inlineStr">
        <is>
          <t>Warehouse system replacement in one market: shortlist to one vendor</t>
        </is>
      </c>
      <c r="C5" s="6" t="inlineStr">
        <is>
          <t>Logistics reboot</t>
        </is>
      </c>
      <c r="D5" s="6" t="inlineStr">
        <is>
          <t>Market IT lead, with group CIO sign-off</t>
        </is>
      </c>
      <c r="E5" s="6" t="inlineStr">
        <is>
          <t>2025-03-14</t>
        </is>
      </c>
      <c r="F5" s="6" t="inlineStr">
        <is>
          <t>No</t>
        </is>
      </c>
      <c r="G5" s="6" t="inlineStr">
        <is>
          <t>High - contract, migration, feed rebuild</t>
        </is>
      </c>
      <c r="H5" s="6" t="inlineStr">
        <is>
          <t>Core stock movements, transport tool, data platform, market labelling tool</t>
        </is>
      </c>
      <c r="I5" s="6" t="inlineStr">
        <is>
          <t>Yes - nobody has costed the stock feed rebuild</t>
        </is>
      </c>
      <c r="J5" s="6" t="inlineStr">
        <is>
          <t>Note written</t>
        </is>
      </c>
    </row>
    <row r="6" ht="30" customHeight="1">
      <c r="A6" s="6" t="inlineStr">
        <is>
          <t>DEC-002</t>
        </is>
      </c>
      <c r="B6" s="6" t="inlineStr">
        <is>
          <t>Whether the new pricing service masters price or reads it</t>
        </is>
      </c>
      <c r="C6" s="6" t="inlineStr">
        <is>
          <t>Pricing platform</t>
        </is>
      </c>
      <c r="D6" s="6" t="inlineStr">
        <is>
          <t>Pricing product owner</t>
        </is>
      </c>
      <c r="E6" s="6" t="inlineStr">
        <is>
          <t>2025-02-28</t>
        </is>
      </c>
      <c r="F6" s="6" t="inlineStr">
        <is>
          <t>Partly</t>
        </is>
      </c>
      <c r="G6" s="6" t="inlineStr">
        <is>
          <t>Medium - rewrite of two consumers</t>
        </is>
      </c>
      <c r="H6" s="6" t="inlineStr">
        <is>
          <t>Pricing service, core, two market front ends</t>
        </is>
      </c>
      <c r="I6" s="6" t="inlineStr">
        <is>
          <t>Yes - two other markets consume the same feed</t>
        </is>
      </c>
      <c r="J6" s="6" t="inlineStr">
        <is>
          <t>Note written</t>
        </is>
      </c>
    </row>
    <row r="7" ht="30" customHeight="1">
      <c r="A7" s="6" t="inlineStr">
        <is>
          <t>DEC-003</t>
        </is>
      </c>
      <c r="B7" s="6" t="inlineStr">
        <is>
          <t>Customer identity: extend the existing directory or introduce a second</t>
        </is>
      </c>
      <c r="C7" s="6" t="inlineStr">
        <is>
          <t>Customer 360</t>
        </is>
      </c>
      <c r="D7" s="6" t="inlineStr">
        <is>
          <t>Programme architect (vendor side)</t>
        </is>
      </c>
      <c r="E7" s="6" t="inlineStr">
        <is>
          <t>2025-04-02</t>
        </is>
      </c>
      <c r="F7" s="6" t="inlineStr">
        <is>
          <t>No</t>
        </is>
      </c>
      <c r="G7" s="6" t="inlineStr">
        <is>
          <t>High - duplicate mastering is permanent</t>
        </is>
      </c>
      <c r="H7" s="6" t="inlineStr">
        <is>
          <t>Directory, CRM, loyalty, three market apps</t>
        </is>
      </c>
      <c r="I7" s="6" t="inlineStr">
        <is>
          <t>Not yet - need the interface list first</t>
        </is>
      </c>
      <c r="J7" s="6" t="inlineStr">
        <is>
          <t>Watching</t>
        </is>
      </c>
    </row>
    <row r="8" ht="30" customHeight="1">
      <c r="A8" s="6" t="inlineStr">
        <is>
          <t>DEC-004</t>
        </is>
      </c>
      <c r="B8" s="6" t="inlineStr">
        <is>
          <t>Reporting: whether market extracts land in the platform or stay local</t>
        </is>
      </c>
      <c r="C8" s="6" t="inlineStr">
        <is>
          <t>Data platform</t>
        </is>
      </c>
      <c r="D8" s="6" t="inlineStr">
        <is>
          <t>Data lead</t>
        </is>
      </c>
      <c r="E8" s="6" t="inlineStr">
        <is>
          <t>2025-03-21</t>
        </is>
      </c>
      <c r="F8" s="6" t="inlineStr">
        <is>
          <t>Yes</t>
        </is>
      </c>
      <c r="G8" s="6" t="inlineStr">
        <is>
          <t>Low - re-point extracts</t>
        </is>
      </c>
      <c r="H8" s="6" t="inlineStr">
        <is>
          <t>Data platform, six market extracts</t>
        </is>
      </c>
      <c r="I8" s="6" t="inlineStr">
        <is>
          <t>No - team is better informed than I am</t>
        </is>
      </c>
      <c r="J8" s="6" t="inlineStr">
        <is>
          <t>Leave alone</t>
        </is>
      </c>
    </row>
    <row r="9" ht="30" customHeight="1">
      <c r="A9" s="6" t="inlineStr">
        <is>
          <t>DEC-005</t>
        </is>
      </c>
      <c r="B9" s="6" t="inlineStr">
        <is>
          <t>Retire or keep the legacy order tool after go-live in market two</t>
        </is>
      </c>
      <c r="C9" s="6" t="inlineStr">
        <is>
          <t>Logistics reboot</t>
        </is>
      </c>
      <c r="D9" s="6" t="inlineStr">
        <is>
          <t>Market operations manager</t>
        </is>
      </c>
      <c r="E9" s="6" t="inlineStr">
        <is>
          <t>2025-05-30</t>
        </is>
      </c>
      <c r="F9" s="6" t="inlineStr">
        <is>
          <t>Partly</t>
        </is>
      </c>
      <c r="G9" s="6" t="inlineStr">
        <is>
          <t>Medium - three integrations</t>
        </is>
      </c>
      <c r="H9" s="6" t="inlineStr">
        <is>
          <t>Legacy order tool, core, transport tool</t>
        </is>
      </c>
      <c r="I9" s="6" t="inlineStr">
        <is>
          <t>Yes - it is an endpoint on four interfaces</t>
        </is>
      </c>
      <c r="J9" s="6" t="inlineStr">
        <is>
          <t>Watching</t>
        </is>
      </c>
    </row>
    <row r="10" ht="30" customHeight="1">
      <c r="A10" s="6" t="inlineStr">
        <is>
          <t>DEC-006</t>
        </is>
      </c>
      <c r="B10" s="6" t="inlineStr"/>
      <c r="C10" s="6" t="inlineStr"/>
      <c r="D10" s="6" t="inlineStr"/>
      <c r="E10" s="6" t="inlineStr"/>
      <c r="F10" s="6" t="inlineStr"/>
      <c r="G10" s="6" t="inlineStr"/>
      <c r="H10" s="6" t="inlineStr"/>
      <c r="I10" s="6" t="inlineStr"/>
      <c r="J10" s="6" t="inlineStr"/>
    </row>
    <row r="11" ht="30" customHeight="1">
      <c r="A11" s="6" t="inlineStr">
        <is>
          <t>DEC-007</t>
        </is>
      </c>
      <c r="B11" s="6" t="inlineStr"/>
      <c r="C11" s="6" t="inlineStr"/>
      <c r="D11" s="6" t="inlineStr"/>
      <c r="E11" s="6" t="inlineStr"/>
      <c r="F11" s="6" t="inlineStr"/>
      <c r="G11" s="6" t="inlineStr"/>
      <c r="H11" s="6" t="inlineStr"/>
      <c r="I11" s="6" t="inlineStr"/>
      <c r="J11" s="6" t="inlineStr"/>
    </row>
    <row r="12" ht="30" customHeight="1">
      <c r="A12" s="6" t="inlineStr">
        <is>
          <t>DEC-008</t>
        </is>
      </c>
      <c r="B12" s="6" t="inlineStr"/>
      <c r="C12" s="6" t="inlineStr"/>
      <c r="D12" s="6" t="inlineStr"/>
      <c r="E12" s="6" t="inlineStr"/>
      <c r="F12" s="6" t="inlineStr"/>
      <c r="G12" s="6" t="inlineStr"/>
      <c r="H12" s="6" t="inlineStr"/>
      <c r="I12" s="6" t="inlineStr"/>
      <c r="J12" s="6" t="inlineStr"/>
    </row>
    <row r="42">
      <c r="A42" s="3" t="inlineStr">
        <is>
          <t>Irreversible decisions still open:</t>
        </is>
      </c>
      <c r="D42" s="7">
        <f>COUNTIFS(F5:F40,"No",J5:J40,"&lt;&gt;Decided")</f>
        <v/>
      </c>
    </row>
    <row r="43">
      <c r="A43" s="3" t="inlineStr">
        <is>
          <t>Notes written:</t>
        </is>
      </c>
      <c r="D43" s="7">
        <f>COUNTIF(J5:J40,"Note written")</f>
        <v/>
      </c>
    </row>
    <row r="45">
      <c r="A45" s="2" t="inlineStr">
        <is>
          <t>If an irreversible decision is open and you have nothing useful, that is fine. If it is open and you do, the clock is running.</t>
        </is>
      </c>
    </row>
  </sheetData>
  <conditionalFormatting sqref="F5:F40">
    <cfRule type="cellIs" priority="1" operator="equal" dxfId="0">
      <formula>"No"</formula>
    </cfRule>
  </conditionalFormatting>
  <conditionalFormatting sqref="J5:J40">
    <cfRule type="cellIs" priority="2" operator="equal" dxfId="0">
      <formula>"Missed"</formula>
    </cfRule>
    <cfRule type="cellIs" priority="3" operator="equal" dxfId="1">
      <formula>"Note written"</formula>
    </cfRule>
  </conditionalFormatting>
  <dataValidations count="2">
    <dataValidation sqref="F5:F40" showDropDown="0" showInputMessage="0" showErrorMessage="0" allowBlank="1" type="list">
      <formula1>"Yes,No,Partly"</formula1>
    </dataValidation>
    <dataValidation sqref="J5:J40" showDropDown="0" showInputMessage="0" showErrorMessage="0" allowBlank="1" type="list">
      <formula1>"Watching,Note written,Leave alone,Decided,Missed"</formula1>
    </dataValidation>
  </dataValidations>
  <pageMargins left="0.75" right="0.75" top="1" bottom="1" header="0.5" footer="0.5"/>
</worksheet>
</file>

<file path=xl/worksheets/sheet3.xml><?xml version="1.0" encoding="utf-8"?>
<worksheet xmlns="http://schemas.openxmlformats.org/spreadsheetml/2006/main">
  <sheetPr>
    <tabColor rgb="0014606B"/>
    <outlinePr summaryBelow="1" summaryRight="1"/>
    <pageSetUpPr/>
  </sheetPr>
  <dimension ref="A1:K33"/>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30" customWidth="1" min="4" max="4"/>
    <col width="26" customWidth="1" min="5" max="5"/>
    <col width="16" customWidth="1" min="6" max="6"/>
    <col width="20" customWidth="1" min="7" max="7"/>
    <col width="20" customWidth="1" min="8" max="8"/>
    <col width="12" customWidth="1" min="9" max="9"/>
    <col width="14" customWidth="1" min="10" max="10"/>
    <col width="14" customWidth="1" min="11" max="11"/>
  </cols>
  <sheetData>
    <row r="1" ht="24" customHeight="1">
      <c r="A1" s="1" t="inlineStr">
        <is>
          <t>Workstream map</t>
        </is>
      </c>
    </row>
    <row r="2" ht="16" customHeight="1">
      <c r="A2" s="2" t="inlineStr">
        <is>
          <t>From the board, in week one. The nouns matter more than the goals: which systems, which objects, which markets.</t>
        </is>
      </c>
    </row>
    <row r="4" ht="30" customHeight="1">
      <c r="A4" s="5" t="inlineStr">
        <is>
          <t>ID</t>
        </is>
      </c>
      <c r="B4" s="5" t="inlineStr">
        <is>
          <t>Workstream</t>
        </is>
      </c>
      <c r="C4" s="5" t="inlineStr">
        <is>
          <t>Stated goal</t>
        </is>
      </c>
      <c r="D4" s="5" t="inlineStr">
        <is>
          <t>Systems named</t>
        </is>
      </c>
      <c r="E4" s="5" t="inlineStr">
        <is>
          <t>Objects touched</t>
        </is>
      </c>
      <c r="F4" s="5" t="inlineStr">
        <is>
          <t>Markets</t>
        </is>
      </c>
      <c r="G4" s="5" t="inlineStr">
        <is>
          <t>Project manager</t>
        </is>
      </c>
      <c r="H4" s="5" t="inlineStr">
        <is>
          <t>Delivery or vendor</t>
        </is>
      </c>
      <c r="I4" s="5" t="inlineStr">
        <is>
          <t>Build or buy</t>
        </is>
      </c>
      <c r="J4" s="5" t="inlineStr">
        <is>
          <t>Nearest decision</t>
        </is>
      </c>
      <c r="K4" s="5" t="inlineStr">
        <is>
          <t>Am I invited?</t>
        </is>
      </c>
    </row>
    <row r="5" ht="30" customHeight="1">
      <c r="A5" s="6" t="inlineStr">
        <is>
          <t>WS-01</t>
        </is>
      </c>
      <c r="B5" s="6" t="inlineStr">
        <is>
          <t>Logistics reboot</t>
        </is>
      </c>
      <c r="C5" s="6" t="inlineStr">
        <is>
          <t>Replace the warehouse system in two markets</t>
        </is>
      </c>
      <c r="D5" s="6" t="inlineStr">
        <is>
          <t>Warehouse system, core, transport tool</t>
        </is>
      </c>
      <c r="E5" s="6" t="inlineStr">
        <is>
          <t>Stock movement, shipment, location</t>
        </is>
      </c>
      <c r="F5" s="6" t="inlineStr">
        <is>
          <t>M1, M2</t>
        </is>
      </c>
      <c r="G5" s="6" t="inlineStr">
        <is>
          <t>PM who invited me</t>
        </is>
      </c>
      <c r="H5" s="6" t="inlineStr">
        <is>
          <t>External vendor, shortlist of two</t>
        </is>
      </c>
      <c r="I5" s="6" t="inlineStr">
        <is>
          <t>Buy</t>
        </is>
      </c>
      <c r="J5" s="6" t="inlineStr">
        <is>
          <t>DEC-001</t>
        </is>
      </c>
      <c r="K5" s="6" t="inlineStr">
        <is>
          <t>Yes</t>
        </is>
      </c>
    </row>
    <row r="6" ht="30" customHeight="1">
      <c r="A6" s="6" t="inlineStr">
        <is>
          <t>WS-02</t>
        </is>
      </c>
      <c r="B6" s="6" t="inlineStr">
        <is>
          <t>Pricing platform</t>
        </is>
      </c>
      <c r="C6" s="6" t="inlineStr">
        <is>
          <t>Central pricing service for all markets</t>
        </is>
      </c>
      <c r="D6" s="6" t="inlineStr">
        <is>
          <t>Pricing service, core, market front ends</t>
        </is>
      </c>
      <c r="E6" s="6" t="inlineStr">
        <is>
          <t>Price, promotion, product</t>
        </is>
      </c>
      <c r="F6" s="6" t="inlineStr">
        <is>
          <t>All</t>
        </is>
      </c>
      <c r="G6" s="6" t="inlineStr">
        <is>
          <t>Group PM</t>
        </is>
      </c>
      <c r="H6" s="6" t="inlineStr">
        <is>
          <t>Internal build team</t>
        </is>
      </c>
      <c r="I6" s="6" t="inlineStr">
        <is>
          <t>Build</t>
        </is>
      </c>
      <c r="J6" s="6" t="inlineStr">
        <is>
          <t>DEC-002</t>
        </is>
      </c>
      <c r="K6" s="6" t="inlineStr">
        <is>
          <t>Partly</t>
        </is>
      </c>
    </row>
    <row r="7" ht="30" customHeight="1">
      <c r="A7" s="6" t="inlineStr">
        <is>
          <t>WS-03</t>
        </is>
      </c>
      <c r="B7" s="6" t="inlineStr">
        <is>
          <t>Customer 360</t>
        </is>
      </c>
      <c r="C7" s="6" t="inlineStr">
        <is>
          <t>Single customer view across loyalty and CRM</t>
        </is>
      </c>
      <c r="D7" s="6" t="inlineStr">
        <is>
          <t>Directory, CRM, loyalty</t>
        </is>
      </c>
      <c r="E7" s="6" t="inlineStr">
        <is>
          <t>Customer, consent, loyalty account</t>
        </is>
      </c>
      <c r="F7" s="6" t="inlineStr">
        <is>
          <t>M1, M3, M4</t>
        </is>
      </c>
      <c r="G7" s="6" t="inlineStr">
        <is>
          <t>Programme manager</t>
        </is>
      </c>
      <c r="H7" s="6" t="inlineStr">
        <is>
          <t>Vendor-led programme</t>
        </is>
      </c>
      <c r="I7" s="6" t="inlineStr">
        <is>
          <t>Buy</t>
        </is>
      </c>
      <c r="J7" s="6" t="inlineStr">
        <is>
          <t>DEC-003</t>
        </is>
      </c>
      <c r="K7" s="6" t="inlineStr">
        <is>
          <t>No</t>
        </is>
      </c>
    </row>
    <row r="8" ht="30" customHeight="1">
      <c r="A8" s="6" t="inlineStr">
        <is>
          <t>WS-04</t>
        </is>
      </c>
      <c r="B8" s="6" t="inlineStr">
        <is>
          <t>Data platform</t>
        </is>
      </c>
      <c r="C8" s="6" t="inlineStr">
        <is>
          <t>Market reporting onto one platform</t>
        </is>
      </c>
      <c r="D8" s="6" t="inlineStr">
        <is>
          <t>Data platform, six market extracts</t>
        </is>
      </c>
      <c r="E8" s="6" t="inlineStr">
        <is>
          <t>Sales, stock, customer</t>
        </is>
      </c>
      <c r="F8" s="6" t="inlineStr">
        <is>
          <t>All</t>
        </is>
      </c>
      <c r="G8" s="6" t="inlineStr">
        <is>
          <t>Data lead</t>
        </is>
      </c>
      <c r="H8" s="6" t="inlineStr">
        <is>
          <t>Internal</t>
        </is>
      </c>
      <c r="I8" s="6" t="inlineStr">
        <is>
          <t>Build</t>
        </is>
      </c>
      <c r="J8" s="6" t="inlineStr">
        <is>
          <t>DEC-004</t>
        </is>
      </c>
      <c r="K8" s="6" t="inlineStr">
        <is>
          <t>Yes</t>
        </is>
      </c>
    </row>
    <row r="9" ht="30" customHeight="1">
      <c r="A9" s="6" t="inlineStr">
        <is>
          <t>WS-05</t>
        </is>
      </c>
      <c r="B9" s="6" t="inlineStr">
        <is>
          <t>Store systems refresh</t>
        </is>
      </c>
      <c r="C9" s="6" t="inlineStr">
        <is>
          <t>Till and back-office hardware and software</t>
        </is>
      </c>
      <c r="D9" s="6" t="inlineStr">
        <is>
          <t>Till, back office, payments</t>
        </is>
      </c>
      <c r="E9" s="6" t="inlineStr">
        <is>
          <t>Transaction, payment, product</t>
        </is>
      </c>
      <c r="F9" s="6" t="inlineStr">
        <is>
          <t>M2</t>
        </is>
      </c>
      <c r="G9" s="6" t="inlineStr">
        <is>
          <t>Market IT lead</t>
        </is>
      </c>
      <c r="H9" s="6" t="inlineStr">
        <is>
          <t>Mixed</t>
        </is>
      </c>
      <c r="I9" s="6" t="inlineStr">
        <is>
          <t>Buy</t>
        </is>
      </c>
      <c r="J9" s="6" t="inlineStr"/>
      <c r="K9" s="6" t="inlineStr">
        <is>
          <t>No</t>
        </is>
      </c>
    </row>
    <row r="10" ht="30" customHeight="1">
      <c r="A10" s="6" t="inlineStr">
        <is>
          <t>WS-06</t>
        </is>
      </c>
      <c r="B10" s="6" t="inlineStr"/>
      <c r="C10" s="6" t="inlineStr"/>
      <c r="D10" s="6" t="inlineStr"/>
      <c r="E10" s="6" t="inlineStr"/>
      <c r="F10" s="6" t="inlineStr"/>
      <c r="G10" s="6" t="inlineStr"/>
      <c r="H10" s="6" t="inlineStr"/>
      <c r="I10" s="6" t="inlineStr"/>
      <c r="J10" s="6" t="inlineStr"/>
      <c r="K10" s="6" t="inlineStr"/>
    </row>
    <row r="11" ht="30" customHeight="1">
      <c r="A11" s="6" t="inlineStr">
        <is>
          <t>WS-07</t>
        </is>
      </c>
      <c r="B11" s="6" t="inlineStr"/>
      <c r="C11" s="6" t="inlineStr"/>
      <c r="D11" s="6" t="inlineStr"/>
      <c r="E11" s="6" t="inlineStr"/>
      <c r="F11" s="6" t="inlineStr"/>
      <c r="G11" s="6" t="inlineStr"/>
      <c r="H11" s="6" t="inlineStr"/>
      <c r="I11" s="6" t="inlineStr"/>
      <c r="J11" s="6" t="inlineStr"/>
      <c r="K11" s="6" t="inlineStr"/>
    </row>
    <row r="32">
      <c r="A32" s="3" t="inlineStr">
        <is>
          <t>Workstreams I am not in:</t>
        </is>
      </c>
      <c r="D32" s="7">
        <f>COUNTIF(K5:K30,"No")</f>
        <v/>
      </c>
    </row>
    <row r="33">
      <c r="A33" s="2" t="inlineStr">
        <is>
          <t>A workstream you are not in is not a failure in month one. It is a target for month three. The route in is an impact note, not a request for access.</t>
        </is>
      </c>
    </row>
  </sheetData>
  <conditionalFormatting sqref="K5:K30">
    <cfRule type="cellIs" priority="1" operator="equal" dxfId="2">
      <formula>"No"</formula>
    </cfRule>
  </conditionalFormatting>
  <dataValidations count="2">
    <dataValidation sqref="I5:I30" showDropDown="0" showInputMessage="0" showErrorMessage="0" allowBlank="1" type="list">
      <formula1>"Build,Buy,Mixed"</formula1>
    </dataValidation>
    <dataValidation sqref="K5:K30" showDropDown="0" showInputMessage="0" showErrorMessage="0" allowBlank="1" type="list">
      <formula1>"Yes,Partly,No"</formula1>
    </dataValidation>
  </dataValidations>
  <pageMargins left="0.75" right="0.75" top="1" bottom="1" header="0.5" footer="0.5"/>
</worksheet>
</file>

<file path=xl/worksheets/sheet4.xml><?xml version="1.0" encoding="utf-8"?>
<worksheet xmlns="http://schemas.openxmlformats.org/spreadsheetml/2006/main">
  <sheetPr>
    <tabColor rgb="0014606B"/>
    <outlinePr summaryBelow="1" summaryRight="1"/>
    <pageSetUpPr/>
  </sheetPr>
  <dimension ref="A1:K66"/>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22" customWidth="1" min="3" max="3"/>
    <col width="26" customWidth="1" min="4" max="4"/>
    <col width="12" customWidth="1" min="5" max="5"/>
    <col width="16" customWidth="1" min="6" max="6"/>
    <col width="14" customWidth="1" min="7" max="7"/>
    <col width="13" customWidth="1" min="8" max="8"/>
    <col width="20" customWidth="1" min="9" max="9"/>
    <col width="16" customWidth="1" min="10" max="10"/>
    <col width="34" customWidth="1" min="11" max="11"/>
  </cols>
  <sheetData>
    <row r="1" ht="24" customHeight="1">
      <c r="A1" s="1" t="inlineStr">
        <is>
          <t>Interface list</t>
        </is>
      </c>
    </row>
    <row r="2" ht="16" customHeight="1">
      <c r="A2" s="2" t="inlineStr">
        <is>
          <t>Ninety minutes with the person who maintains this beats six weeks of collection. Ask for the list, not the architecture.</t>
        </is>
      </c>
    </row>
    <row r="4" ht="30" customHeight="1">
      <c r="A4" s="5" t="inlineStr">
        <is>
          <t>ID</t>
        </is>
      </c>
      <c r="B4" s="5" t="inlineStr">
        <is>
          <t>From</t>
        </is>
      </c>
      <c r="C4" s="5" t="inlineStr">
        <is>
          <t>To</t>
        </is>
      </c>
      <c r="D4" s="5" t="inlineStr">
        <is>
          <t>What moves (object)</t>
        </is>
      </c>
      <c r="E4" s="5" t="inlineStr">
        <is>
          <t>Direction</t>
        </is>
      </c>
      <c r="F4" s="5" t="inlineStr">
        <is>
          <t>Style</t>
        </is>
      </c>
      <c r="G4" s="5" t="inlineStr">
        <is>
          <t>Frequency</t>
        </is>
      </c>
      <c r="H4" s="5" t="inlineStr">
        <is>
          <t>Breaks often?</t>
        </is>
      </c>
      <c r="I4" s="5" t="inlineStr">
        <is>
          <t>Owner</t>
        </is>
      </c>
      <c r="J4" s="5" t="inlineStr">
        <is>
          <t>Would rebuild first?</t>
        </is>
      </c>
      <c r="K4" s="5" t="inlineStr">
        <is>
          <t>What they keep refusing</t>
        </is>
      </c>
    </row>
    <row r="5" ht="30" customHeight="1">
      <c r="A5" s="6" t="inlineStr">
        <is>
          <t>INT-001</t>
        </is>
      </c>
      <c r="B5" s="6" t="inlineStr">
        <is>
          <t>Core</t>
        </is>
      </c>
      <c r="C5" s="6" t="inlineStr">
        <is>
          <t>Warehouse system</t>
        </is>
      </c>
      <c r="D5" s="6" t="inlineStr">
        <is>
          <t>Stock movement</t>
        </is>
      </c>
      <c r="E5" s="6" t="inlineStr">
        <is>
          <t>One way</t>
        </is>
      </c>
      <c r="F5" s="6" t="inlineStr">
        <is>
          <t>Nightly file</t>
        </is>
      </c>
      <c r="G5" s="6" t="inlineStr">
        <is>
          <t>Daily</t>
        </is>
      </c>
      <c r="H5" s="6" t="inlineStr">
        <is>
          <t>Yes</t>
        </is>
      </c>
      <c r="I5" s="6" t="inlineStr">
        <is>
          <t>Integration team</t>
        </is>
      </c>
      <c r="J5" s="6" t="inlineStr">
        <is>
          <t>Yes</t>
        </is>
      </c>
      <c r="K5" s="6" t="inlineStr">
        <is>
          <t>Direct table reads into the core</t>
        </is>
      </c>
    </row>
    <row r="6" ht="30" customHeight="1">
      <c r="A6" s="6" t="inlineStr">
        <is>
          <t>INT-002</t>
        </is>
      </c>
      <c r="B6" s="6" t="inlineStr">
        <is>
          <t>Warehouse system</t>
        </is>
      </c>
      <c r="C6" s="6" t="inlineStr">
        <is>
          <t>Transport tool</t>
        </is>
      </c>
      <c r="D6" s="6" t="inlineStr">
        <is>
          <t>Shipment</t>
        </is>
      </c>
      <c r="E6" s="6" t="inlineStr">
        <is>
          <t>One way</t>
        </is>
      </c>
      <c r="F6" s="6" t="inlineStr">
        <is>
          <t>API</t>
        </is>
      </c>
      <c r="G6" s="6" t="inlineStr">
        <is>
          <t>Near real time</t>
        </is>
      </c>
      <c r="H6" s="6" t="inlineStr">
        <is>
          <t>No</t>
        </is>
      </c>
      <c r="I6" s="6" t="inlineStr">
        <is>
          <t>Integration team</t>
        </is>
      </c>
      <c r="J6" s="6" t="inlineStr">
        <is>
          <t>No</t>
        </is>
      </c>
      <c r="K6" s="6" t="inlineStr"/>
    </row>
    <row r="7" ht="30" customHeight="1">
      <c r="A7" s="6" t="inlineStr">
        <is>
          <t>INT-003</t>
        </is>
      </c>
      <c r="B7" s="6" t="inlineStr">
        <is>
          <t>Core</t>
        </is>
      </c>
      <c r="C7" s="6" t="inlineStr">
        <is>
          <t>Data platform</t>
        </is>
      </c>
      <c r="D7" s="6" t="inlineStr">
        <is>
          <t>Sales, stock</t>
        </is>
      </c>
      <c r="E7" s="6" t="inlineStr">
        <is>
          <t>One way</t>
        </is>
      </c>
      <c r="F7" s="6" t="inlineStr">
        <is>
          <t>Batch extract</t>
        </is>
      </c>
      <c r="G7" s="6" t="inlineStr">
        <is>
          <t>Daily</t>
        </is>
      </c>
      <c r="H7" s="6" t="inlineStr">
        <is>
          <t>Sometimes</t>
        </is>
      </c>
      <c r="I7" s="6" t="inlineStr">
        <is>
          <t>Data lead</t>
        </is>
      </c>
      <c r="J7" s="6" t="inlineStr">
        <is>
          <t>No</t>
        </is>
      </c>
      <c r="K7" s="6" t="inlineStr"/>
    </row>
    <row r="8" ht="30" customHeight="1">
      <c r="A8" s="6" t="inlineStr">
        <is>
          <t>INT-004</t>
        </is>
      </c>
      <c r="B8" s="6" t="inlineStr">
        <is>
          <t>Warehouse system</t>
        </is>
      </c>
      <c r="C8" s="6" t="inlineStr">
        <is>
          <t>Market labelling tool</t>
        </is>
      </c>
      <c r="D8" s="6" t="inlineStr">
        <is>
          <t>Product, location</t>
        </is>
      </c>
      <c r="E8" s="6" t="inlineStr">
        <is>
          <t>Two way</t>
        </is>
      </c>
      <c r="F8" s="6" t="inlineStr">
        <is>
          <t>Flat file on a share</t>
        </is>
      </c>
      <c r="G8" s="6" t="inlineStr">
        <is>
          <t>Hourly</t>
        </is>
      </c>
      <c r="H8" s="6" t="inlineStr">
        <is>
          <t>Yes</t>
        </is>
      </c>
      <c r="I8" s="6" t="inlineStr">
        <is>
          <t>Market IT (informal)</t>
        </is>
      </c>
      <c r="J8" s="6" t="inlineStr">
        <is>
          <t>Yes</t>
        </is>
      </c>
      <c r="K8" s="6" t="inlineStr">
        <is>
          <t>Anything that adds a new share-based feed</t>
        </is>
      </c>
    </row>
    <row r="9" ht="30" customHeight="1">
      <c r="A9" s="6" t="inlineStr">
        <is>
          <t>INT-005</t>
        </is>
      </c>
      <c r="B9" s="6" t="inlineStr">
        <is>
          <t>CRM</t>
        </is>
      </c>
      <c r="C9" s="6" t="inlineStr">
        <is>
          <t>Loyalty</t>
        </is>
      </c>
      <c r="D9" s="6" t="inlineStr">
        <is>
          <t>Customer, loyalty account</t>
        </is>
      </c>
      <c r="E9" s="6" t="inlineStr">
        <is>
          <t>Two way</t>
        </is>
      </c>
      <c r="F9" s="6" t="inlineStr">
        <is>
          <t>API</t>
        </is>
      </c>
      <c r="G9" s="6" t="inlineStr">
        <is>
          <t>Near real time</t>
        </is>
      </c>
      <c r="H9" s="6" t="inlineStr">
        <is>
          <t>No</t>
        </is>
      </c>
      <c r="I9" s="6" t="inlineStr">
        <is>
          <t>CRM team</t>
        </is>
      </c>
      <c r="J9" s="6" t="inlineStr">
        <is>
          <t>No</t>
        </is>
      </c>
      <c r="K9" s="6" t="inlineStr"/>
    </row>
    <row r="10" ht="30" customHeight="1">
      <c r="A10" s="6" t="inlineStr">
        <is>
          <t>INT-006</t>
        </is>
      </c>
      <c r="B10" s="6" t="inlineStr">
        <is>
          <t>Directory</t>
        </is>
      </c>
      <c r="C10" s="6" t="inlineStr">
        <is>
          <t>CRM</t>
        </is>
      </c>
      <c r="D10" s="6" t="inlineStr">
        <is>
          <t>Customer identity</t>
        </is>
      </c>
      <c r="E10" s="6" t="inlineStr">
        <is>
          <t>One way</t>
        </is>
      </c>
      <c r="F10" s="6" t="inlineStr">
        <is>
          <t>Sync job</t>
        </is>
      </c>
      <c r="G10" s="6" t="inlineStr">
        <is>
          <t>Hourly</t>
        </is>
      </c>
      <c r="H10" s="6" t="inlineStr">
        <is>
          <t>Sometimes</t>
        </is>
      </c>
      <c r="I10" s="6" t="inlineStr">
        <is>
          <t>CRM team</t>
        </is>
      </c>
      <c r="J10" s="6" t="inlineStr">
        <is>
          <t>Yes</t>
        </is>
      </c>
      <c r="K10" s="6" t="inlineStr">
        <is>
          <t>A second place to master customer identity</t>
        </is>
      </c>
    </row>
    <row r="11" ht="30" customHeight="1">
      <c r="A11" s="6" t="inlineStr">
        <is>
          <t>INT-007</t>
        </is>
      </c>
      <c r="B11" s="6" t="inlineStr">
        <is>
          <t>Core</t>
        </is>
      </c>
      <c r="C11" s="6" t="inlineStr">
        <is>
          <t>Legacy order tool</t>
        </is>
      </c>
      <c r="D11" s="6" t="inlineStr">
        <is>
          <t>Order</t>
        </is>
      </c>
      <c r="E11" s="6" t="inlineStr">
        <is>
          <t>Two way</t>
        </is>
      </c>
      <c r="F11" s="6" t="inlineStr">
        <is>
          <t>Nightly file</t>
        </is>
      </c>
      <c r="G11" s="6" t="inlineStr">
        <is>
          <t>Daily</t>
        </is>
      </c>
      <c r="H11" s="6" t="inlineStr">
        <is>
          <t>Yes</t>
        </is>
      </c>
      <c r="I11" s="6" t="inlineStr">
        <is>
          <t>Integration team</t>
        </is>
      </c>
      <c r="J11" s="6" t="inlineStr">
        <is>
          <t>Yes</t>
        </is>
      </c>
      <c r="K11" s="6" t="inlineStr"/>
    </row>
    <row r="12" ht="30" customHeight="1">
      <c r="A12" s="6" t="inlineStr">
        <is>
          <t>INT-008</t>
        </is>
      </c>
      <c r="B12" s="6" t="inlineStr">
        <is>
          <t>Pricing service</t>
        </is>
      </c>
      <c r="C12" s="6" t="inlineStr">
        <is>
          <t>Core</t>
        </is>
      </c>
      <c r="D12" s="6" t="inlineStr">
        <is>
          <t>Price</t>
        </is>
      </c>
      <c r="E12" s="6" t="inlineStr">
        <is>
          <t>One way</t>
        </is>
      </c>
      <c r="F12" s="6" t="inlineStr">
        <is>
          <t>API</t>
        </is>
      </c>
      <c r="G12" s="6" t="inlineStr">
        <is>
          <t>On change</t>
        </is>
      </c>
      <c r="H12" s="6" t="inlineStr">
        <is>
          <t>No</t>
        </is>
      </c>
      <c r="I12" s="6" t="inlineStr">
        <is>
          <t>Build team</t>
        </is>
      </c>
      <c r="J12" s="6" t="inlineStr">
        <is>
          <t>No</t>
        </is>
      </c>
      <c r="K12" s="6" t="inlineStr">
        <is>
          <t>Consumers writing prices back</t>
        </is>
      </c>
    </row>
    <row r="13" ht="30" customHeight="1">
      <c r="A13" s="6" t="inlineStr">
        <is>
          <t>INT-009</t>
        </is>
      </c>
      <c r="B13" s="6" t="inlineStr"/>
      <c r="C13" s="6" t="inlineStr"/>
      <c r="D13" s="6" t="inlineStr"/>
      <c r="E13" s="6" t="inlineStr"/>
      <c r="F13" s="6" t="inlineStr"/>
      <c r="G13" s="6" t="inlineStr"/>
      <c r="H13" s="6" t="inlineStr"/>
      <c r="I13" s="6" t="inlineStr"/>
      <c r="J13" s="6" t="inlineStr"/>
      <c r="K13" s="6" t="inlineStr"/>
    </row>
    <row r="14" ht="30" customHeight="1">
      <c r="A14" s="6" t="inlineStr">
        <is>
          <t>INT-010</t>
        </is>
      </c>
      <c r="B14" s="6" t="inlineStr"/>
      <c r="C14" s="6" t="inlineStr"/>
      <c r="D14" s="6" t="inlineStr"/>
      <c r="E14" s="6" t="inlineStr"/>
      <c r="F14" s="6" t="inlineStr"/>
      <c r="G14" s="6" t="inlineStr"/>
      <c r="H14" s="6" t="inlineStr"/>
      <c r="I14" s="6" t="inlineStr"/>
      <c r="J14" s="6" t="inlineStr"/>
      <c r="K14" s="6" t="inlineStr"/>
    </row>
    <row r="62">
      <c r="A62" s="3" t="inlineStr">
        <is>
          <t>Interfaces listed:</t>
        </is>
      </c>
      <c r="D62" s="7">
        <f>COUNTIF(B5:B60,"?*")</f>
        <v/>
      </c>
    </row>
    <row r="63">
      <c r="A63" s="3" t="inlineStr">
        <is>
          <t>Breaking often:</t>
        </is>
      </c>
      <c r="D63" s="7">
        <f>COUNTIF(H5:H60,"Yes")</f>
        <v/>
      </c>
    </row>
    <row r="64">
      <c r="A64" s="3" t="inlineStr">
        <is>
          <t>Undocumented principles captured:</t>
        </is>
      </c>
      <c r="D64" s="7">
        <f>COUNTIF(K5:K60,"?*")</f>
        <v/>
      </c>
    </row>
    <row r="66">
      <c r="A66" s="2" t="inlineStr">
        <is>
          <t>Column K is where the organization's real rules already live. What the integration team keeps refusing, and why, is a principle nobody has written down yet.</t>
        </is>
      </c>
    </row>
  </sheetData>
  <conditionalFormatting sqref="H5:H60">
    <cfRule type="cellIs" priority="1" operator="equal" dxfId="0">
      <formula>"Yes"</formula>
    </cfRule>
  </conditionalFormatting>
  <conditionalFormatting sqref="K5:K60">
    <cfRule type="expression" priority="2" dxfId="3">
      <formula>LEN($K5)&gt;0</formula>
    </cfRule>
  </conditionalFormatting>
  <dataValidations count="3">
    <dataValidation sqref="E5:E60" showDropDown="0" showInputMessage="0" showErrorMessage="0" allowBlank="1" type="list">
      <formula1>"One way,Two way"</formula1>
    </dataValidation>
    <dataValidation sqref="H5:H60" showDropDown="0" showInputMessage="0" showErrorMessage="0" allowBlank="1" type="list">
      <formula1>"Yes,Sometimes,No"</formula1>
    </dataValidation>
    <dataValidation sqref="J5:J60"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tabColor rgb="0014606B"/>
    <outlinePr summaryBelow="1" summaryRight="1"/>
    <pageSetUpPr/>
  </sheetPr>
  <dimension ref="A1:J46"/>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22" customWidth="1" min="3" max="3"/>
    <col width="22" customWidth="1" min="4" max="4"/>
    <col width="14" customWidth="1" min="5" max="5"/>
    <col width="30" customWidth="1" min="6" max="6"/>
    <col width="15" customWidth="1" min="7" max="7"/>
    <col width="24" customWidth="1" min="8" max="8"/>
    <col width="13" customWidth="1" min="9" max="9"/>
    <col width="13" customWidth="1" min="10" max="10"/>
  </cols>
  <sheetData>
    <row r="1" ht="24" customHeight="1">
      <c r="A1" s="1" t="inlineStr">
        <is>
          <t>Landscape, scoped</t>
        </is>
      </c>
    </row>
    <row r="2" ht="16" customHeight="1">
      <c r="A2" s="2" t="inlineStr">
        <is>
          <t>Derived from the interface list and the work in flight, plus one ring out. Not the architecture. The part of the landscape the current work touches.</t>
        </is>
      </c>
    </row>
    <row r="4" ht="30" customHeight="1">
      <c r="A4" s="5" t="inlineStr">
        <is>
          <t>ID</t>
        </is>
      </c>
      <c r="B4" s="5" t="inlineStr">
        <is>
          <t>Application</t>
        </is>
      </c>
      <c r="C4" s="5" t="inlineStr">
        <is>
          <t>Business owner</t>
        </is>
      </c>
      <c r="D4" s="5" t="inlineStr">
        <is>
          <t>IT owner</t>
        </is>
      </c>
      <c r="E4" s="5" t="inlineStr">
        <is>
          <t>Markets</t>
        </is>
      </c>
      <c r="F4" s="5" t="inlineStr">
        <is>
          <t>In scope because</t>
        </is>
      </c>
      <c r="G4" s="5" t="inlineStr">
        <is>
          <t>Interfaces (count)</t>
        </is>
      </c>
      <c r="H4" s="5" t="inlineStr">
        <is>
          <t>Touched by workstream</t>
        </is>
      </c>
      <c r="I4" s="5" t="inlineStr">
        <is>
          <t>First seen</t>
        </is>
      </c>
      <c r="J4" s="5" t="inlineStr">
        <is>
          <t>Confidence</t>
        </is>
      </c>
    </row>
    <row r="5" ht="30" customHeight="1">
      <c r="A5" s="6" t="inlineStr">
        <is>
          <t>APP-001</t>
        </is>
      </c>
      <c r="B5" s="6" t="inlineStr">
        <is>
          <t>Core</t>
        </is>
      </c>
      <c r="C5" s="6" t="inlineStr">
        <is>
          <t>Group operations</t>
        </is>
      </c>
      <c r="D5" s="6" t="inlineStr">
        <is>
          <t>Core platform team</t>
        </is>
      </c>
      <c r="E5" s="6" t="inlineStr">
        <is>
          <t>All</t>
        </is>
      </c>
      <c r="F5" s="6" t="inlineStr">
        <is>
          <t>Endpoint on five interfaces in flight</t>
        </is>
      </c>
      <c r="G5" s="6">
        <f>COUNTIFS('3 Interfaces'!$B$5:$B$60,$B5)+COUNTIFS('3 Interfaces'!$C$5:$C$60,$B5)</f>
        <v/>
      </c>
      <c r="H5" s="6" t="inlineStr">
        <is>
          <t>WS-01, WS-02, WS-04</t>
        </is>
      </c>
      <c r="I5" s="6" t="inlineStr">
        <is>
          <t>2025-01-13</t>
        </is>
      </c>
      <c r="J5" s="6" t="inlineStr">
        <is>
          <t>High</t>
        </is>
      </c>
    </row>
    <row r="6" ht="30" customHeight="1">
      <c r="A6" s="6" t="inlineStr">
        <is>
          <t>APP-002</t>
        </is>
      </c>
      <c r="B6" s="6" t="inlineStr">
        <is>
          <t>Warehouse system</t>
        </is>
      </c>
      <c r="C6" s="6" t="inlineStr">
        <is>
          <t>Market M1 operations</t>
        </is>
      </c>
      <c r="D6" s="6" t="inlineStr">
        <is>
          <t>Market IT lead</t>
        </is>
      </c>
      <c r="E6" s="6" t="inlineStr">
        <is>
          <t>M1, M2</t>
        </is>
      </c>
      <c r="F6" s="6" t="inlineStr">
        <is>
          <t>Being replaced under DEC-001</t>
        </is>
      </c>
      <c r="G6" s="6">
        <f>COUNTIFS('3 Interfaces'!$B$5:$B$60,$B6)+COUNTIFS('3 Interfaces'!$C$5:$C$60,$B6)</f>
        <v/>
      </c>
      <c r="H6" s="6" t="inlineStr">
        <is>
          <t>WS-01</t>
        </is>
      </c>
      <c r="I6" s="6" t="inlineStr">
        <is>
          <t>2025-01-13</t>
        </is>
      </c>
      <c r="J6" s="6" t="inlineStr">
        <is>
          <t>High</t>
        </is>
      </c>
    </row>
    <row r="7" ht="30" customHeight="1">
      <c r="A7" s="6" t="inlineStr">
        <is>
          <t>APP-003</t>
        </is>
      </c>
      <c r="B7" s="6" t="inlineStr">
        <is>
          <t>Transport tool</t>
        </is>
      </c>
      <c r="C7" s="6" t="inlineStr">
        <is>
          <t>Market M1 operations</t>
        </is>
      </c>
      <c r="D7" s="6" t="inlineStr">
        <is>
          <t>Integration team</t>
        </is>
      </c>
      <c r="E7" s="6" t="inlineStr">
        <is>
          <t>M1, M2</t>
        </is>
      </c>
      <c r="F7" s="6" t="inlineStr">
        <is>
          <t>Consumes shipment from the system being replaced</t>
        </is>
      </c>
      <c r="G7" s="6">
        <f>COUNTIFS('3 Interfaces'!$B$5:$B$60,$B7)+COUNTIFS('3 Interfaces'!$C$5:$C$60,$B7)</f>
        <v/>
      </c>
      <c r="H7" s="6" t="inlineStr">
        <is>
          <t>WS-01</t>
        </is>
      </c>
      <c r="I7" s="6" t="inlineStr">
        <is>
          <t>2025-01-14</t>
        </is>
      </c>
      <c r="J7" s="6" t="inlineStr">
        <is>
          <t>High</t>
        </is>
      </c>
    </row>
    <row r="8" ht="30" customHeight="1">
      <c r="A8" s="6" t="inlineStr">
        <is>
          <t>APP-004</t>
        </is>
      </c>
      <c r="B8" s="6" t="inlineStr">
        <is>
          <t>Data platform</t>
        </is>
      </c>
      <c r="C8" s="6" t="inlineStr"/>
      <c r="D8" s="6" t="inlineStr">
        <is>
          <t>Data lead</t>
        </is>
      </c>
      <c r="E8" s="6" t="inlineStr">
        <is>
          <t>All</t>
        </is>
      </c>
      <c r="F8" s="6" t="inlineStr">
        <is>
          <t>One ring out from the core</t>
        </is>
      </c>
      <c r="G8" s="6">
        <f>COUNTIFS('3 Interfaces'!$B$5:$B$60,$B8)+COUNTIFS('3 Interfaces'!$C$5:$C$60,$B8)</f>
        <v/>
      </c>
      <c r="H8" s="6" t="inlineStr">
        <is>
          <t>WS-04</t>
        </is>
      </c>
      <c r="I8" s="6" t="inlineStr">
        <is>
          <t>2025-01-14</t>
        </is>
      </c>
      <c r="J8" s="6" t="inlineStr">
        <is>
          <t>Medium</t>
        </is>
      </c>
    </row>
    <row r="9" ht="30" customHeight="1">
      <c r="A9" s="6" t="inlineStr">
        <is>
          <t>APP-005</t>
        </is>
      </c>
      <c r="B9" s="6" t="inlineStr">
        <is>
          <t>Market labelling tool</t>
        </is>
      </c>
      <c r="C9" s="6" t="inlineStr"/>
      <c r="D9" s="6" t="inlineStr"/>
      <c r="E9" s="6" t="inlineStr">
        <is>
          <t>M1</t>
        </is>
      </c>
      <c r="F9" s="6" t="inlineStr">
        <is>
          <t>Interface endpoint the project has not listed</t>
        </is>
      </c>
      <c r="G9" s="6">
        <f>COUNTIFS('3 Interfaces'!$B$5:$B$60,$B9)+COUNTIFS('3 Interfaces'!$C$5:$C$60,$B9)</f>
        <v/>
      </c>
      <c r="H9" s="6" t="inlineStr">
        <is>
          <t>WS-01</t>
        </is>
      </c>
      <c r="I9" s="6" t="inlineStr">
        <is>
          <t>2025-01-16</t>
        </is>
      </c>
      <c r="J9" s="6" t="inlineStr">
        <is>
          <t>Low</t>
        </is>
      </c>
    </row>
    <row r="10" ht="30" customHeight="1">
      <c r="A10" s="6" t="inlineStr">
        <is>
          <t>APP-006</t>
        </is>
      </c>
      <c r="B10" s="6" t="inlineStr">
        <is>
          <t>CRM</t>
        </is>
      </c>
      <c r="C10" s="6" t="inlineStr">
        <is>
          <t>Group marketing</t>
        </is>
      </c>
      <c r="D10" s="6" t="inlineStr">
        <is>
          <t>CRM team</t>
        </is>
      </c>
      <c r="E10" s="6" t="inlineStr">
        <is>
          <t>M1, M3, M4</t>
        </is>
      </c>
      <c r="F10" s="6" t="inlineStr">
        <is>
          <t>In the Customer 360 scope</t>
        </is>
      </c>
      <c r="G10" s="6">
        <f>COUNTIFS('3 Interfaces'!$B$5:$B$60,$B10)+COUNTIFS('3 Interfaces'!$C$5:$C$60,$B10)</f>
        <v/>
      </c>
      <c r="H10" s="6" t="inlineStr">
        <is>
          <t>WS-03</t>
        </is>
      </c>
      <c r="I10" s="6" t="inlineStr">
        <is>
          <t>2025-01-16</t>
        </is>
      </c>
      <c r="J10" s="6" t="inlineStr">
        <is>
          <t>Medium</t>
        </is>
      </c>
    </row>
    <row r="11" ht="30" customHeight="1">
      <c r="A11" s="6" t="inlineStr">
        <is>
          <t>APP-007</t>
        </is>
      </c>
      <c r="B11" s="6" t="inlineStr">
        <is>
          <t>Loyalty</t>
        </is>
      </c>
      <c r="C11" s="6" t="inlineStr">
        <is>
          <t>Group marketing</t>
        </is>
      </c>
      <c r="D11" s="6" t="inlineStr">
        <is>
          <t>CRM team</t>
        </is>
      </c>
      <c r="E11" s="6" t="inlineStr">
        <is>
          <t>M1, M3</t>
        </is>
      </c>
      <c r="F11" s="6" t="inlineStr">
        <is>
          <t>Two-way with CRM</t>
        </is>
      </c>
      <c r="G11" s="6">
        <f>COUNTIFS('3 Interfaces'!$B$5:$B$60,$B11)+COUNTIFS('3 Interfaces'!$C$5:$C$60,$B11)</f>
        <v/>
      </c>
      <c r="H11" s="6" t="inlineStr">
        <is>
          <t>WS-03</t>
        </is>
      </c>
      <c r="I11" s="6" t="inlineStr">
        <is>
          <t>2025-01-16</t>
        </is>
      </c>
      <c r="J11" s="6" t="inlineStr">
        <is>
          <t>Medium</t>
        </is>
      </c>
    </row>
    <row r="12" ht="30" customHeight="1">
      <c r="A12" s="6" t="inlineStr">
        <is>
          <t>APP-008</t>
        </is>
      </c>
      <c r="B12" s="6" t="inlineStr">
        <is>
          <t>Directory</t>
        </is>
      </c>
      <c r="C12" s="6" t="inlineStr"/>
      <c r="D12" s="6" t="inlineStr">
        <is>
          <t>Platform team</t>
        </is>
      </c>
      <c r="E12" s="6" t="inlineStr">
        <is>
          <t>All</t>
        </is>
      </c>
      <c r="F12" s="6" t="inlineStr">
        <is>
          <t>Mastering question under DEC-003</t>
        </is>
      </c>
      <c r="G12" s="6">
        <f>COUNTIFS('3 Interfaces'!$B$5:$B$60,$B12)+COUNTIFS('3 Interfaces'!$C$5:$C$60,$B12)</f>
        <v/>
      </c>
      <c r="H12" s="6" t="inlineStr">
        <is>
          <t>WS-03</t>
        </is>
      </c>
      <c r="I12" s="6" t="inlineStr">
        <is>
          <t>2025-01-17</t>
        </is>
      </c>
      <c r="J12" s="6" t="inlineStr">
        <is>
          <t>Low</t>
        </is>
      </c>
    </row>
    <row r="13" ht="30" customHeight="1">
      <c r="A13" s="6" t="inlineStr">
        <is>
          <t>APP-009</t>
        </is>
      </c>
      <c r="B13" s="6" t="inlineStr">
        <is>
          <t>Pricing service</t>
        </is>
      </c>
      <c r="C13" s="6" t="inlineStr">
        <is>
          <t>Group pricing</t>
        </is>
      </c>
      <c r="D13" s="6" t="inlineStr">
        <is>
          <t>Build team</t>
        </is>
      </c>
      <c r="E13" s="6" t="inlineStr">
        <is>
          <t>All</t>
        </is>
      </c>
      <c r="F13" s="6" t="inlineStr">
        <is>
          <t>Being built under WS-02</t>
        </is>
      </c>
      <c r="G13" s="6">
        <f>COUNTIFS('3 Interfaces'!$B$5:$B$60,$B13)+COUNTIFS('3 Interfaces'!$C$5:$C$60,$B13)</f>
        <v/>
      </c>
      <c r="H13" s="6" t="inlineStr">
        <is>
          <t>WS-02</t>
        </is>
      </c>
      <c r="I13" s="6" t="inlineStr">
        <is>
          <t>2025-01-17</t>
        </is>
      </c>
      <c r="J13" s="6" t="inlineStr">
        <is>
          <t>High</t>
        </is>
      </c>
    </row>
    <row r="14" ht="30" customHeight="1">
      <c r="A14" s="6" t="inlineStr">
        <is>
          <t>APP-010</t>
        </is>
      </c>
      <c r="B14" s="6" t="inlineStr">
        <is>
          <t>Legacy order tool</t>
        </is>
      </c>
      <c r="C14" s="6" t="inlineStr">
        <is>
          <t>Market M2 operations</t>
        </is>
      </c>
      <c r="D14" s="6" t="inlineStr"/>
      <c r="E14" s="6" t="inlineStr">
        <is>
          <t>M2</t>
        </is>
      </c>
      <c r="F14" s="6" t="inlineStr">
        <is>
          <t>Retirement question under DEC-005</t>
        </is>
      </c>
      <c r="G14" s="6">
        <f>COUNTIFS('3 Interfaces'!$B$5:$B$60,$B14)+COUNTIFS('3 Interfaces'!$C$5:$C$60,$B14)</f>
        <v/>
      </c>
      <c r="H14" s="6" t="inlineStr">
        <is>
          <t>WS-01</t>
        </is>
      </c>
      <c r="I14" s="6" t="inlineStr">
        <is>
          <t>2025-01-20</t>
        </is>
      </c>
      <c r="J14" s="6" t="inlineStr">
        <is>
          <t>Low</t>
        </is>
      </c>
    </row>
    <row r="15" ht="30" customHeight="1">
      <c r="A15" s="6" t="inlineStr">
        <is>
          <t>APP-011</t>
        </is>
      </c>
      <c r="B15" s="6" t="inlineStr"/>
      <c r="C15" s="6" t="inlineStr"/>
      <c r="D15" s="6" t="inlineStr"/>
      <c r="E15" s="6" t="inlineStr"/>
      <c r="F15" s="6" t="inlineStr"/>
      <c r="G15" s="6" t="inlineStr"/>
      <c r="H15" s="6" t="inlineStr"/>
      <c r="I15" s="6" t="inlineStr"/>
      <c r="J15" s="6" t="inlineStr"/>
    </row>
    <row r="16" ht="30" customHeight="1">
      <c r="A16" s="6" t="inlineStr">
        <is>
          <t>APP-012</t>
        </is>
      </c>
      <c r="B16" s="6" t="inlineStr"/>
      <c r="C16" s="6" t="inlineStr"/>
      <c r="D16" s="6" t="inlineStr"/>
      <c r="E16" s="6" t="inlineStr"/>
      <c r="F16" s="6" t="inlineStr"/>
      <c r="G16" s="6" t="inlineStr"/>
      <c r="H16" s="6" t="inlineStr"/>
      <c r="I16" s="6" t="inlineStr"/>
      <c r="J16" s="6" t="inlineStr"/>
    </row>
    <row r="42">
      <c r="A42" s="3" t="inlineStr">
        <is>
          <t>Applications in scope:</t>
        </is>
      </c>
      <c r="D42" s="7">
        <f>COUNTIF(B5:B40,"?*")</f>
        <v/>
      </c>
    </row>
    <row r="43">
      <c r="A43" s="3" t="inlineStr">
        <is>
          <t>Missing an IT owner:</t>
        </is>
      </c>
      <c r="D43" s="7">
        <f>SUMPRODUCT((B5:B40&lt;&gt;"")*(D5:D40=""))</f>
        <v/>
      </c>
    </row>
    <row r="44">
      <c r="A44" s="3" t="inlineStr">
        <is>
          <t>Low confidence:</t>
        </is>
      </c>
      <c r="D44" s="7">
        <f>COUNTIF(J5:J40,"Low")</f>
        <v/>
      </c>
    </row>
    <row r="46">
      <c r="A46" s="2" t="inlineStr">
        <is>
          <t>Amber cells are missing owners. Leave them amber. A blank you can see is worth more than a name somebody guessed, and the amber is what you take to the next conversation.</t>
        </is>
      </c>
    </row>
  </sheetData>
  <conditionalFormatting sqref="C5:D40">
    <cfRule type="expression" priority="1" dxfId="4">
      <formula>AND(LEN($B5)&gt;0,LEN(C5)=0)</formula>
    </cfRule>
  </conditionalFormatting>
  <dataValidations count="1">
    <dataValidation sqref="J5:J40" showDropDown="0" showInputMessage="0" showErrorMessage="0" allowBlank="1" type="list">
      <formula1>"High,Medium,Low"</formula1>
    </dataValidation>
  </dataValidations>
  <pageMargins left="0.75" right="0.75" top="1" bottom="1" header="0.5" footer="0.5"/>
</worksheet>
</file>

<file path=xl/worksheets/sheet6.xml><?xml version="1.0" encoding="utf-8"?>
<worksheet xmlns="http://schemas.openxmlformats.org/spreadsheetml/2006/main">
  <sheetPr>
    <tabColor rgb="0014606B"/>
    <outlinePr summaryBelow="1" summaryRight="1"/>
    <pageSetUpPr/>
  </sheetPr>
  <dimension ref="A1:J23"/>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12" customWidth="1" min="3" max="3"/>
    <col width="24" customWidth="1" min="4" max="4"/>
    <col width="36" customWidth="1" min="5" max="5"/>
    <col width="26" customWidth="1" min="6" max="6"/>
    <col width="34" customWidth="1" min="7" max="7"/>
    <col width="34" customWidth="1" min="8" max="8"/>
    <col width="20" customWidth="1" min="9" max="9"/>
    <col width="26" customWidth="1" min="10" max="10"/>
  </cols>
  <sheetData>
    <row r="1" ht="24" customHeight="1">
      <c r="A1" s="1" t="inlineStr">
        <is>
          <t>Impact notes written</t>
        </is>
      </c>
    </row>
    <row r="2" ht="16" customHeight="1">
      <c r="A2" s="2" t="inlineStr">
        <is>
          <t>One page each, to the project manager and the workstream lead. Nobody senior copied. No recommendation.</t>
        </is>
      </c>
    </row>
    <row r="4" ht="30" customHeight="1">
      <c r="A4" s="5" t="inlineStr">
        <is>
          <t>ID</t>
        </is>
      </c>
      <c r="B4" s="5" t="inlineStr">
        <is>
          <t>Decision</t>
        </is>
      </c>
      <c r="C4" s="5" t="inlineStr">
        <is>
          <t>Date sent</t>
        </is>
      </c>
      <c r="D4" s="5" t="inlineStr">
        <is>
          <t>Sent to</t>
        </is>
      </c>
      <c r="E4" s="5" t="inlineStr">
        <is>
          <t>What it touches (beyond their list)</t>
        </is>
      </c>
      <c r="F4" s="5" t="inlineStr">
        <is>
          <t>Who else is affected</t>
        </is>
      </c>
      <c r="G4" s="5" t="inlineStr">
        <is>
          <t>What breaks</t>
        </is>
      </c>
      <c r="H4" s="5" t="inlineStr">
        <is>
          <t>What I would want to know</t>
        </is>
      </c>
      <c r="I4" s="5" t="inlineStr">
        <is>
          <t>Response</t>
        </is>
      </c>
      <c r="J4" s="5" t="inlineStr">
        <is>
          <t>Led to</t>
        </is>
      </c>
    </row>
    <row r="5" ht="30" customHeight="1">
      <c r="A5" s="6" t="inlineStr">
        <is>
          <t>IMP-001</t>
        </is>
      </c>
      <c r="B5" s="6" t="inlineStr">
        <is>
          <t>DEC-001 warehouse shortlist</t>
        </is>
      </c>
      <c r="C5" s="6" t="inlineStr">
        <is>
          <t>2025-01-24</t>
        </is>
      </c>
      <c r="D5" s="6" t="inlineStr">
        <is>
          <t>PM and market IT lead</t>
        </is>
      </c>
      <c r="E5" s="6" t="inlineStr">
        <is>
          <t>Market labelling tool (APP-005), not on the project list</t>
        </is>
      </c>
      <c r="F5" s="6" t="inlineStr">
        <is>
          <t>Two markets consuming the same stock feed</t>
        </is>
      </c>
      <c r="G5" s="6" t="inlineStr">
        <is>
          <t>Nightly file has no schema; both products expect events. Feed rebuild is in neither quote</t>
        </is>
      </c>
      <c r="H5" s="6" t="inlineStr">
        <is>
          <t>Whether either product can consume the file on the existing schedule during transition</t>
        </is>
      </c>
      <c r="I5" s="6" t="inlineStr">
        <is>
          <t>Forwarded to both vendors</t>
        </is>
      </c>
      <c r="J5" s="6" t="inlineStr">
        <is>
          <t>Invited to WS-03 in March</t>
        </is>
      </c>
    </row>
    <row r="6" ht="30" customHeight="1">
      <c r="A6" s="6" t="inlineStr">
        <is>
          <t>IMP-002</t>
        </is>
      </c>
      <c r="B6" s="6" t="inlineStr">
        <is>
          <t>DEC-002 pricing mastership</t>
        </is>
      </c>
      <c r="C6" s="6" t="inlineStr">
        <is>
          <t>2025-02-05</t>
        </is>
      </c>
      <c r="D6" s="6" t="inlineStr">
        <is>
          <t>Pricing product owner</t>
        </is>
      </c>
      <c r="E6" s="6" t="inlineStr">
        <is>
          <t>Two market front ends read price directly from the core</t>
        </is>
      </c>
      <c r="F6" s="6" t="inlineStr">
        <is>
          <t>Both markets, plus the data platform</t>
        </is>
      </c>
      <c r="G6" s="6" t="inlineStr">
        <is>
          <t>If pricing masters price without retiring the core write path, two systems master it</t>
        </is>
      </c>
      <c r="H6" s="6" t="inlineStr">
        <is>
          <t>Whether the core write path can be closed at cutover or has to stay open</t>
        </is>
      </c>
      <c r="I6" s="6" t="inlineStr">
        <is>
          <t>Discussed in their design session</t>
        </is>
      </c>
      <c r="J6" s="6" t="inlineStr">
        <is>
          <t>Write path added to their scope</t>
        </is>
      </c>
    </row>
    <row r="7" ht="30" customHeight="1">
      <c r="A7" s="6" t="inlineStr">
        <is>
          <t>IMP-003</t>
        </is>
      </c>
      <c r="B7" s="6" t="inlineStr"/>
      <c r="C7" s="6" t="inlineStr"/>
      <c r="D7" s="6" t="inlineStr"/>
      <c r="E7" s="6" t="inlineStr"/>
      <c r="F7" s="6" t="inlineStr"/>
      <c r="G7" s="6" t="inlineStr"/>
      <c r="H7" s="6" t="inlineStr"/>
      <c r="I7" s="6" t="inlineStr"/>
      <c r="J7" s="6" t="inlineStr"/>
    </row>
    <row r="8" ht="30" customHeight="1">
      <c r="A8" s="6" t="inlineStr">
        <is>
          <t>IMP-004</t>
        </is>
      </c>
      <c r="B8" s="6" t="inlineStr"/>
      <c r="C8" s="6" t="inlineStr"/>
      <c r="D8" s="6" t="inlineStr"/>
      <c r="E8" s="6" t="inlineStr"/>
      <c r="F8" s="6" t="inlineStr"/>
      <c r="G8" s="6" t="inlineStr"/>
      <c r="H8" s="6" t="inlineStr"/>
      <c r="I8" s="6" t="inlineStr"/>
      <c r="J8" s="6" t="inlineStr"/>
    </row>
    <row r="20">
      <c r="A20" s="3" t="inlineStr">
        <is>
          <t>Notes sent:</t>
        </is>
      </c>
      <c r="D20" s="7">
        <f>COUNTIF(B5:B18,"?*")</f>
        <v/>
      </c>
    </row>
    <row r="21">
      <c r="A21" s="3" t="inlineStr">
        <is>
          <t>Notes that led somewhere:</t>
        </is>
      </c>
      <c r="D21" s="7">
        <f>COUNTIF(J5:J18,"?*")</f>
        <v/>
      </c>
    </row>
    <row r="23">
      <c r="A23" s="2" t="inlineStr">
        <is>
          <t>Column J is the only measure that matters in the first ninety days. A note that changed nothing is still fine. A run of six that changed nothing means you are writing reviews, not gifts.</t>
        </is>
      </c>
    </row>
  </sheetData>
  <pageMargins left="0.75" right="0.75" top="1" bottom="1" header="0.5" footer="0.5"/>
</worksheet>
</file>

<file path=xl/worksheets/sheet7.xml><?xml version="1.0" encoding="utf-8"?>
<worksheet xmlns="http://schemas.openxmlformats.org/spreadsheetml/2006/main">
  <sheetPr>
    <tabColor rgb="0014606B"/>
    <outlinePr summaryBelow="1" summaryRight="1"/>
    <pageSetUpPr/>
  </sheetPr>
  <dimension ref="A1:J46"/>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13" customWidth="1" min="3" max="3"/>
    <col width="22" customWidth="1" min="4" max="4"/>
    <col width="14" customWidth="1" min="5" max="5"/>
    <col width="38" customWidth="1" min="6" max="6"/>
    <col width="34" customWidth="1" min="7" max="7"/>
    <col width="32" customWidth="1" min="8" max="8"/>
    <col width="20" customWidth="1" min="9" max="9"/>
    <col width="16" customWidth="1" min="10" max="10"/>
  </cols>
  <sheetData>
    <row r="1" ht="24" customHeight="1">
      <c r="A1" s="1" t="inlineStr">
        <is>
          <t>Decision log, backfilled</t>
        </is>
      </c>
    </row>
    <row r="2" ht="16" customHeight="1">
      <c r="A2" s="2" t="inlineStr">
        <is>
          <t>Days 61 to 90. Write down what was already decided, before the discipline of writing down what is being decided.</t>
        </is>
      </c>
    </row>
    <row r="4" ht="30" customHeight="1">
      <c r="A4" s="5" t="inlineStr">
        <is>
          <t>ID</t>
        </is>
      </c>
      <c r="B4" s="5" t="inlineStr">
        <is>
          <t>Title</t>
        </is>
      </c>
      <c r="C4" s="5" t="inlineStr">
        <is>
          <t>Decided on</t>
        </is>
      </c>
      <c r="D4" s="5" t="inlineStr">
        <is>
          <t>Decided by</t>
        </is>
      </c>
      <c r="E4" s="5" t="inlineStr">
        <is>
          <t>Status</t>
        </is>
      </c>
      <c r="F4" s="5" t="inlineStr">
        <is>
          <t>Context</t>
        </is>
      </c>
      <c r="G4" s="5" t="inlineStr">
        <is>
          <t>Decision</t>
        </is>
      </c>
      <c r="H4" s="5" t="inlineStr">
        <is>
          <t>Consequences accepted</t>
        </is>
      </c>
      <c r="I4" s="5" t="inlineStr">
        <is>
          <t>Where it lives</t>
        </is>
      </c>
      <c r="J4" s="5" t="inlineStr">
        <is>
          <t>Backfilled or live</t>
        </is>
      </c>
    </row>
    <row r="5" ht="30" customHeight="1">
      <c r="A5" s="6" t="inlineStr">
        <is>
          <t>ADR-001</t>
        </is>
      </c>
      <c r="B5" s="6" t="inlineStr">
        <is>
          <t>Stock movements master in the core</t>
        </is>
      </c>
      <c r="C5" s="6" t="inlineStr">
        <is>
          <t>2023-06-00 (approx)</t>
        </is>
      </c>
      <c r="D5" s="6" t="inlineStr">
        <is>
          <t>Core platform team</t>
        </is>
      </c>
      <c r="E5" s="6" t="inlineStr">
        <is>
          <t>Accepted</t>
        </is>
      </c>
      <c r="F5" s="6" t="inlineStr">
        <is>
          <t>Two systems were writing stock; reconciliation was manual</t>
        </is>
      </c>
      <c r="G5" s="6" t="inlineStr">
        <is>
          <t>The core masters stock movement; everything else reads</t>
        </is>
      </c>
      <c r="H5" s="6" t="inlineStr">
        <is>
          <t>Warehouse changes need a core release</t>
        </is>
      </c>
      <c r="I5" s="6" t="inlineStr">
        <is>
          <t>Team drive, this file</t>
        </is>
      </c>
      <c r="J5" s="6" t="inlineStr">
        <is>
          <t>Backfilled</t>
        </is>
      </c>
    </row>
    <row r="6" ht="30" customHeight="1">
      <c r="A6" s="6" t="inlineStr">
        <is>
          <t>ADR-002</t>
        </is>
      </c>
      <c r="B6" s="6" t="inlineStr">
        <is>
          <t>No direct table reads into the core</t>
        </is>
      </c>
      <c r="C6" s="6" t="inlineStr">
        <is>
          <t>2022-00-00 (approx)</t>
        </is>
      </c>
      <c r="D6" s="6" t="inlineStr">
        <is>
          <t>Integration team</t>
        </is>
      </c>
      <c r="E6" s="6" t="inlineStr">
        <is>
          <t>Accepted</t>
        </is>
      </c>
      <c r="F6" s="6" t="inlineStr">
        <is>
          <t>A reporting tool read tables directly and broke on every upgrade</t>
        </is>
      </c>
      <c r="G6" s="6" t="inlineStr">
        <is>
          <t>All access through published interfaces</t>
        </is>
      </c>
      <c r="H6" s="6" t="inlineStr">
        <is>
          <t>Some consumers wait for an interface to be built</t>
        </is>
      </c>
      <c r="I6" s="6" t="inlineStr">
        <is>
          <t>This file</t>
        </is>
      </c>
      <c r="J6" s="6" t="inlineStr">
        <is>
          <t>Backfilled</t>
        </is>
      </c>
    </row>
    <row r="7" ht="30" customHeight="1">
      <c r="A7" s="6" t="inlineStr">
        <is>
          <t>ADR-003</t>
        </is>
      </c>
      <c r="B7" s="6" t="inlineStr">
        <is>
          <t>Customer identity masters in the directory</t>
        </is>
      </c>
      <c r="C7" s="6" t="inlineStr">
        <is>
          <t>2024-11-00 (approx)</t>
        </is>
      </c>
      <c r="D7" s="6" t="inlineStr">
        <is>
          <t>Platform team</t>
        </is>
      </c>
      <c r="E7" s="6" t="inlineStr">
        <is>
          <t>Contested</t>
        </is>
      </c>
      <c r="F7" s="6" t="inlineStr">
        <is>
          <t>CRM and the directory both hold identity; nobody wrote the rule down</t>
        </is>
      </c>
      <c r="G7" s="6" t="inlineStr">
        <is>
          <t>Directory masters; CRM holds a reference</t>
        </is>
      </c>
      <c r="H7" s="6" t="inlineStr">
        <is>
          <t>Contested by the Customer 360 programme - see DEC-003</t>
        </is>
      </c>
      <c r="I7" s="6" t="inlineStr">
        <is>
          <t>This file</t>
        </is>
      </c>
      <c r="J7" s="6" t="inlineStr">
        <is>
          <t>Backfilled</t>
        </is>
      </c>
    </row>
    <row r="8" ht="30" customHeight="1">
      <c r="A8" s="6" t="inlineStr">
        <is>
          <t>ADR-004</t>
        </is>
      </c>
      <c r="B8" s="6" t="inlineStr">
        <is>
          <t>Warehouse replacement scope excludes labelling</t>
        </is>
      </c>
      <c r="C8" s="6" t="inlineStr">
        <is>
          <t>2025-02-11</t>
        </is>
      </c>
      <c r="D8" s="6" t="inlineStr">
        <is>
          <t>Market IT lead</t>
        </is>
      </c>
      <c r="E8" s="6" t="inlineStr">
        <is>
          <t>Accepted</t>
        </is>
      </c>
      <c r="F8" s="6" t="inlineStr">
        <is>
          <t>Labelling tool is a market-owned interface endpoint</t>
        </is>
      </c>
      <c r="G8" s="6" t="inlineStr">
        <is>
          <t>Labelling stays; the interface is rebuilt in wave two</t>
        </is>
      </c>
      <c r="H8" s="6" t="inlineStr">
        <is>
          <t>Wave two carries a dependency and a cost</t>
        </is>
      </c>
      <c r="I8" s="6" t="inlineStr">
        <is>
          <t>This file</t>
        </is>
      </c>
      <c r="J8" s="6" t="inlineStr">
        <is>
          <t>Live</t>
        </is>
      </c>
    </row>
    <row r="9" ht="30" customHeight="1">
      <c r="A9" s="6" t="inlineStr">
        <is>
          <t>ADR-005</t>
        </is>
      </c>
      <c r="B9" s="6" t="inlineStr"/>
      <c r="C9" s="6" t="inlineStr"/>
      <c r="D9" s="6" t="inlineStr"/>
      <c r="E9" s="6" t="inlineStr"/>
      <c r="F9" s="6" t="inlineStr"/>
      <c r="G9" s="6" t="inlineStr"/>
      <c r="H9" s="6" t="inlineStr"/>
      <c r="I9" s="6" t="inlineStr"/>
      <c r="J9" s="6" t="inlineStr"/>
    </row>
    <row r="42">
      <c r="A42" s="3" t="inlineStr">
        <is>
          <t>Records:</t>
        </is>
      </c>
      <c r="D42" s="7">
        <f>COUNTIF(B5:B40,"?*")</f>
        <v/>
      </c>
    </row>
    <row r="43">
      <c r="A43" s="3" t="inlineStr">
        <is>
          <t>Backfilled:</t>
        </is>
      </c>
      <c r="D43" s="7">
        <f>COUNTIF(J5:J40,"Backfilled")</f>
        <v/>
      </c>
    </row>
    <row r="44">
      <c r="A44" s="3" t="inlineStr">
        <is>
          <t>Contested:</t>
        </is>
      </c>
      <c r="D44" s="7">
        <f>COUNTIF(E5:E40,"Contested")</f>
        <v/>
      </c>
    </row>
    <row r="46">
      <c r="A46" s="2" t="inlineStr">
        <is>
          <t>Eight to ten backfilled records is the target by day ninety. A contested record is the most valuable kind: it names a disagreement that was previously invisible and was being re-argued quietly.</t>
        </is>
      </c>
    </row>
  </sheetData>
  <conditionalFormatting sqref="E5:E40">
    <cfRule type="cellIs" priority="1" operator="equal" dxfId="2">
      <formula>"Contested"</formula>
    </cfRule>
  </conditionalFormatting>
  <dataValidations count="2">
    <dataValidation sqref="E5:E40" showDropDown="0" showInputMessage="0" showErrorMessage="0" allowBlank="1" type="list">
      <formula1>"Proposed,Accepted,Contested,Superseded,Deferred"</formula1>
    </dataValidation>
    <dataValidation sqref="J5:J40" showDropDown="0" showInputMessage="0" showErrorMessage="0" allowBlank="1" type="list">
      <formula1>"Backfilled,Live"</formula1>
    </dataValidation>
  </dataValidations>
  <pageMargins left="0.75" right="0.75" top="1" bottom="1" header="0.5" footer="0.5"/>
</worksheet>
</file>

<file path=xl/worksheets/sheet8.xml><?xml version="1.0" encoding="utf-8"?>
<worksheet xmlns="http://schemas.openxmlformats.org/spreadsheetml/2006/main">
  <sheetPr>
    <tabColor rgb="0014606B"/>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0" customWidth="1" min="3" max="3"/>
    <col width="13" customWidth="1" min="4" max="4"/>
    <col width="60" customWidth="1" min="5" max="5"/>
    <col width="10" customWidth="1" min="6" max="6"/>
    <col width="10" customWidth="1" min="7" max="7"/>
    <col width="10" customWidth="1" min="8" max="8"/>
  </cols>
  <sheetData>
    <row r="1" ht="24" customHeight="1">
      <c r="A1" s="1" t="inlineStr">
        <is>
          <t>The ninety-day plan</t>
        </is>
      </c>
    </row>
    <row r="2" ht="16" customHeight="1">
      <c r="A2" s="2" t="inlineStr">
        <is>
          <t>Six phases. One output each, and one thing you deliberately do not do. Tick the output, not the activity.</t>
        </is>
      </c>
    </row>
    <row r="4" ht="30" customHeight="1">
      <c r="A4" s="5" t="inlineStr">
        <is>
          <t>Phase</t>
        </is>
      </c>
      <c r="B4" s="5" t="inlineStr">
        <is>
          <t>Days</t>
        </is>
      </c>
      <c r="C4" s="5" t="inlineStr">
        <is>
          <t>Do</t>
        </is>
      </c>
      <c r="D4" s="5" t="inlineStr">
        <is>
          <t>Output</t>
        </is>
      </c>
      <c r="E4" s="5" t="inlineStr">
        <is>
          <t>Done?</t>
        </is>
      </c>
      <c r="F4" s="5" t="inlineStr">
        <is>
          <t>Date done</t>
        </is>
      </c>
      <c r="G4" s="5" t="inlineStr">
        <is>
          <t>Do not</t>
        </is>
      </c>
      <c r="H4" s="5" t="inlineStr">
        <is>
          <t>Evidence it landed</t>
        </is>
      </c>
    </row>
    <row r="5" ht="52" customHeight="1">
      <c r="A5" s="6" t="inlineStr">
        <is>
          <t>Orientation</t>
        </is>
      </c>
      <c r="B5" s="6" t="inlineStr">
        <is>
          <t>1-5</t>
        </is>
      </c>
      <c r="C5" s="6" t="inlineStr">
        <is>
          <t>Read every workstream, epic, and the last thirty days of comments. One conversation with the PM who invited you</t>
        </is>
      </c>
      <c r="D5" s="6" t="inlineStr">
        <is>
          <t>A private list of five decisions in flight</t>
        </is>
      </c>
      <c r="E5" s="6" t="inlineStr"/>
      <c r="F5" s="6" t="inlineStr"/>
      <c r="G5" s="6" t="inlineStr">
        <is>
          <t>Offer an opinion in week one, however obvious the problem seems</t>
        </is>
      </c>
      <c r="H5" s="6" t="inlineStr"/>
    </row>
    <row r="6" ht="52" customHeight="1">
      <c r="A6" s="6" t="inlineStr">
        <is>
          <t>First gift</t>
        </is>
      </c>
      <c r="B6" s="6" t="inlineStr">
        <is>
          <t>6-15</t>
        </is>
      </c>
      <c r="C6" s="6" t="inlineStr">
        <is>
          <t>Write an impact note on the nearest irreversible decision</t>
        </is>
      </c>
      <c r="D6" s="6" t="inlineStr">
        <is>
          <t>One page, to the PM and the workstream lead</t>
        </is>
      </c>
      <c r="E6" s="6" t="inlineStr"/>
      <c r="F6" s="6" t="inlineStr"/>
      <c r="G6" s="6" t="inlineStr">
        <is>
          <t>Copy anyone senior. It stops being a gift and becomes a report</t>
        </is>
      </c>
      <c r="H6" s="6" t="inlineStr"/>
    </row>
    <row r="7" ht="52" customHeight="1">
      <c r="A7" s="6" t="inlineStr">
        <is>
          <t>Integration</t>
        </is>
      </c>
      <c r="B7" s="6" t="inlineStr">
        <is>
          <t>16-30</t>
        </is>
      </c>
      <c r="C7" s="6" t="inlineStr">
        <is>
          <t>Ask the integration team for the interface list, not the architecture</t>
        </is>
      </c>
      <c r="D7" s="6" t="inlineStr">
        <is>
          <t>A landscape sketch derived from interfaces</t>
        </is>
      </c>
      <c r="E7" s="6" t="inlineStr"/>
      <c r="F7" s="6" t="inlineStr"/>
      <c r="G7" s="6" t="inlineStr">
        <is>
          <t>Ask them to fill in a template. You are not collecting yet</t>
        </is>
      </c>
      <c r="H7" s="6" t="inlineStr"/>
    </row>
    <row r="8" ht="52" customHeight="1">
      <c r="A8" s="6" t="inlineStr">
        <is>
          <t>Scoped as-is</t>
        </is>
      </c>
      <c r="B8" s="6" t="inlineStr">
        <is>
          <t>31-45</t>
        </is>
      </c>
      <c r="C8" s="6" t="inlineStr">
        <is>
          <t>Build the as-is scoped to what the work in flight touches, plus one ring out</t>
        </is>
      </c>
      <c r="D8" s="6" t="inlineStr">
        <is>
          <t>Around thirty applications with owners and interfaces</t>
        </is>
      </c>
      <c r="E8" s="6" t="inlineStr"/>
      <c r="F8" s="6" t="inlineStr"/>
      <c r="G8" s="6" t="inlineStr">
        <is>
          <t>Publish it as "the architecture"</t>
        </is>
      </c>
      <c r="H8" s="6" t="inlineStr"/>
    </row>
    <row r="9" ht="52" customHeight="1">
      <c r="A9" s="6" t="inlineStr">
        <is>
          <t>First target</t>
        </is>
      </c>
      <c r="B9" s="6" t="inlineStr">
        <is>
          <t>46-60</t>
        </is>
      </c>
      <c r="C9" s="6" t="inlineStr">
        <is>
          <t>Write a target for one area, at a horizon matching a real decision</t>
        </is>
      </c>
      <c r="D9" s="6" t="inlineStr">
        <is>
          <t>A one-page target direction, agreed with the area owner</t>
        </is>
      </c>
      <c r="E9" s="6" t="inlineStr"/>
      <c r="F9" s="6" t="inlineStr"/>
      <c r="G9" s="6" t="inlineStr">
        <is>
          <t>Write an estate-wide target before you know the constraints</t>
        </is>
      </c>
      <c r="H9" s="6" t="inlineStr"/>
    </row>
    <row r="10" ht="52" customHeight="1">
      <c r="A10" s="6" t="inlineStr">
        <is>
          <t>First discipline</t>
        </is>
      </c>
      <c r="B10" s="6" t="inlineStr">
        <is>
          <t>61-90</t>
        </is>
      </c>
      <c r="C10" s="6" t="inlineStr">
        <is>
          <t>Seed the decision log with what was already decided. Add one thing to an existing process</t>
        </is>
      </c>
      <c r="D10" s="6" t="inlineStr">
        <is>
          <t>Eight to ten records, and one field on the intake form</t>
        </is>
      </c>
      <c r="E10" s="6" t="inlineStr"/>
      <c r="F10" s="6" t="inlineStr"/>
      <c r="G10" s="6" t="inlineStr">
        <is>
          <t>Stand up an architecture board. An empty agenda makes you decorative</t>
        </is>
      </c>
      <c r="H10" s="6" t="inlineStr"/>
    </row>
    <row r="12">
      <c r="A12" s="3" t="inlineStr">
        <is>
          <t>Phases complete:</t>
        </is>
      </c>
      <c r="D12" s="7">
        <f>COUNTIF(E5:E10,"Yes")&amp;" of 6"</f>
        <v/>
      </c>
    </row>
    <row r="14">
      <c r="A14" s="8" t="inlineStr">
        <is>
          <t>Signals it converted</t>
        </is>
      </c>
    </row>
    <row r="15" ht="30" customHeight="1">
      <c r="A15" s="5" t="inlineStr">
        <is>
          <t>Signal</t>
        </is>
      </c>
      <c r="B15" s="5" t="inlineStr"/>
      <c r="C15" s="5" t="inlineStr">
        <is>
          <t>Seen?</t>
        </is>
      </c>
      <c r="D15" s="5" t="inlineStr">
        <is>
          <t>Date</t>
        </is>
      </c>
      <c r="E15" s="5" t="inlineStr">
        <is>
          <t>Note</t>
        </is>
      </c>
      <c r="F15" s="5" t="inlineStr"/>
      <c r="G15" s="5" t="inlineStr"/>
      <c r="H15" s="5" t="inlineStr"/>
    </row>
    <row r="16" ht="30" customHeight="1">
      <c r="A16" s="6" t="inlineStr">
        <is>
          <t>Somebody invites you before the decision rather than after</t>
        </is>
      </c>
      <c r="B16" s="6" t="inlineStr"/>
      <c r="C16" s="6" t="inlineStr"/>
      <c r="D16" s="6" t="inlineStr"/>
      <c r="E16" s="6" t="inlineStr">
        <is>
          <t>The one that counts. Usually month three to five</t>
        </is>
      </c>
    </row>
    <row r="17" ht="30" customHeight="1">
      <c r="A17" s="6" t="inlineStr">
        <is>
          <t>A decision gets cited by number, without you prompting</t>
        </is>
      </c>
      <c r="B17" s="6" t="inlineStr"/>
      <c r="C17" s="6" t="inlineStr"/>
      <c r="D17" s="6" t="inlineStr"/>
      <c r="E17" s="6" t="inlineStr">
        <is>
          <t>The log became a shared memory rather than your filing</t>
        </is>
      </c>
    </row>
    <row r="18" ht="30" customHeight="1">
      <c r="A18" s="6" t="inlineStr">
        <is>
          <t>A second project manager adds you to their board, unprompted</t>
        </is>
      </c>
      <c r="B18" s="6" t="inlineStr"/>
      <c r="C18" s="6" t="inlineStr"/>
      <c r="D18" s="6" t="inlineStr"/>
      <c r="E18" s="6" t="inlineStr">
        <is>
          <t>The invitation spread on its own</t>
        </is>
      </c>
    </row>
    <row r="19" ht="30" customHeight="1">
      <c r="A19" s="6" t="inlineStr">
        <is>
          <t>The integration team forwards you a request rather than refusing it</t>
        </is>
      </c>
      <c r="B19" s="6" t="inlineStr"/>
      <c r="C19" s="6" t="inlineStr"/>
      <c r="D19" s="6" t="inlineStr"/>
      <c r="E19" s="6" t="inlineStr">
        <is>
          <t>You became a route rather than a reviewer</t>
        </is>
      </c>
    </row>
    <row r="20" ht="30" customHeight="1">
      <c r="A20" s="6" t="inlineStr">
        <is>
          <t>Your as-is appears in somebody's slide without attribution</t>
        </is>
      </c>
      <c r="B20" s="6" t="inlineStr"/>
      <c r="C20" s="6" t="inlineStr"/>
      <c r="D20" s="6" t="inlineStr"/>
      <c r="E20" s="6" t="inlineStr">
        <is>
          <t>The highest compliment this work receives</t>
        </is>
      </c>
    </row>
    <row r="21" ht="30" customHeight="1">
      <c r="A21" s="6" t="inlineStr">
        <is>
          <t>Negative: every conversation you are in was initiated by you</t>
        </is>
      </c>
      <c r="B21" s="6" t="inlineStr"/>
      <c r="C21" s="6" t="inlineStr"/>
      <c r="D21" s="6" t="inlineStr"/>
      <c r="E21" s="6" t="inlineStr">
        <is>
          <t>Three months in, this means you have been reviewing rather than helping</t>
        </is>
      </c>
    </row>
  </sheetData>
  <conditionalFormatting sqref="E5:E10">
    <cfRule type="cellIs" priority="1" operator="equal" dxfId="1">
      <formula>"Yes"</formula>
    </cfRule>
  </conditionalFormatting>
  <dataValidations count="2">
    <dataValidation sqref="E5:E10" showDropDown="0" showInputMessage="0" showErrorMessage="0" allowBlank="1" type="list">
      <formula1>"Yes,No"</formula1>
    </dataValidation>
    <dataValidation sqref="C16:C21" showDropDown="0" showInputMessage="0" showErrorMessage="0" allowBlank="1" type="list">
      <formula1>"Yes,Not yet"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2026-09-04T10:32:20Z</dcterms:created>
  <dcterms:modified xmlns:dcterms="http://purl.org/dc/terms/" xmlns:xsi="http://www.w3.org/2001/XMLSchema-instance" xsi:type="dcterms:W3CDTF">2026-09-04T10:32:20Z</dcterms:modified>
</cp:coreProperties>
</file>
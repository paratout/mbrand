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Extensions" sheetId="4" state="visible" r:id="rId4"/>
    <sheet xmlns:r="http://schemas.openxmlformats.org/officeDocument/2006/relationships" name="Interfaces" sheetId="5" state="visible" r:id="rId5"/>
    <sheet xmlns:r="http://schemas.openxmlformats.org/officeDocument/2006/relationships" name="Ownership" sheetId="6" state="visible" r:id="rId6"/>
    <sheet xmlns:r="http://schemas.openxmlformats.org/officeDocument/2006/relationships" name="Buy-out candidates" sheetId="7" state="visible" r:id="rId7"/>
    <sheet xmlns:r="http://schemas.openxmlformats.org/officeDocument/2006/relationships" name="Scorecard" sheetId="8" state="visible" r:id="rId8"/>
    <sheet xmlns:r="http://schemas.openxmlformats.org/officeDocument/2006/relationships" name="Trend" sheetId="9" state="visible" r:id="rId9"/>
  </sheets>
  <definedNames>
    <definedName name="_xlnm._FilterDatabase" localSheetId="3" hidden="1">'Extensions'!$A$1:$R$251</definedName>
    <definedName name="_xlnm._FilterDatabase" localSheetId="4" hidden="1">'Interfaces'!$A$1:$O$201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;-0;;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FF7D766E"/>
      <sz val="9"/>
    </font>
    <font>
      <name val="Arial"/>
      <b val="1"/>
      <color rgb="FFFFFFFF"/>
      <sz val="10"/>
    </font>
    <font>
      <name val="Arial"/>
      <b val="1"/>
      <color rgb="FF14606B"/>
      <sz val="18"/>
    </font>
    <font>
      <name val="Arial"/>
      <b val="1"/>
      <color rgb="FF14606B"/>
      <sz val="12"/>
    </font>
    <font>
      <name val="Arial"/>
      <i val="1"/>
      <color rgb="FF14606B"/>
      <sz val="10"/>
    </font>
  </fonts>
  <fills count="4">
    <fill>
      <patternFill/>
    </fill>
    <fill>
      <patternFill patternType="gray125"/>
    </fill>
    <fill>
      <patternFill patternType="solid">
        <fgColor rgb="FF14606B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3" fillId="0" borderId="0" pivotButton="0" quotePrefix="0" xfId="0"/>
    <xf numFmtId="164" fontId="2" fillId="3" borderId="1" pivotButton="0" quotePrefix="0" xfId="0"/>
    <xf numFmtId="0" fontId="4" fillId="0" borderId="0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165" fontId="2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3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9" fontId="7" fillId="0" borderId="1" pivotButton="0" quotePrefix="0" xfId="0"/>
    <xf numFmtId="0" fontId="7" fillId="3" borderId="1" pivotButton="0" quotePrefix="0" xfId="0"/>
    <xf numFmtId="0" fontId="8" fillId="0" borderId="0" pivotButton="0" quotePrefix="0" xfId="0"/>
    <xf numFmtId="9" fontId="2" fillId="0" borderId="1" pivotButton="0" quotePrefix="0" xfId="0"/>
    <xf numFmtId="9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FFF2E4E0"/>
        </patternFill>
      </fill>
    </dxf>
    <dxf>
      <fill>
        <patternFill patternType="solid">
          <fgColor rgb="FFF5ECD7"/>
        </patternFill>
      </fill>
    </dxf>
    <dxf>
      <fill>
        <patternFill patternType="solid">
          <fgColor rgb="FFE3EF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Clean core - extension and integration register</t>
        </is>
      </c>
    </row>
    <row r="2">
      <c r="A2" s="2" t="inlineStr">
        <is>
          <t>Four working sheets and a scorecard. The register is the mechanism: every request classified in public, every exception carrying an owner and an expiry, every quarter closing or extending or promoting what has expired.</t>
        </is>
      </c>
    </row>
    <row r="3">
      <c r="A3" s="2" t="inlineStr"/>
    </row>
    <row r="4">
      <c r="A4" s="3" t="inlineStr">
        <is>
          <t>The sheets</t>
        </is>
      </c>
    </row>
    <row r="5">
      <c r="A5" s="2" t="inlineStr">
        <is>
          <t>Settings - the as-at date, the default expiry, and the buy-out threshold. Change these before anything else.</t>
        </is>
      </c>
    </row>
    <row r="6">
      <c r="A6" s="2" t="inlineStr">
        <is>
          <t>Extensions - the request log. Classification, place, funding, expiry, and the ages that make the register readable.</t>
        </is>
      </c>
    </row>
    <row r="7">
      <c r="A7" s="2" t="inlineStr">
        <is>
          <t>Interfaces - the inventory. Contract type, direction, pattern, owner, and whether it runs on something released.</t>
        </is>
      </c>
    </row>
    <row r="8">
      <c r="A8" s="2" t="inlineStr">
        <is>
          <t>Ownership - which system masters each significant object. One afternoon of argument, and it prevents more damage than any later governance.</t>
        </is>
      </c>
    </row>
    <row r="9">
      <c r="A9" s="2" t="inlineStr">
        <is>
          <t>Buy-out candidates - anything appearing in the threshold number of markets or more. Computed, not curated.</t>
        </is>
      </c>
    </row>
    <row r="10">
      <c r="A10" s="2" t="inlineStr">
        <is>
          <t>Scorecard - the four numbers, and a Trend sheet so the shape over a year is visible.</t>
        </is>
      </c>
    </row>
    <row r="11">
      <c r="A11" s="2" t="inlineStr"/>
    </row>
    <row r="12">
      <c r="A12" s="3" t="inlineStr">
        <is>
          <t>How to run it</t>
        </is>
      </c>
    </row>
    <row r="13">
      <c r="A13" s="2" t="inlineStr">
        <is>
          <t>1. Every request gets a row in Extensions the day it arrives, before it is classified. A request that only enters the register once approved teaches people to route around the register.</t>
        </is>
      </c>
    </row>
    <row r="14">
      <c r="A14" s="2" t="inlineStr">
        <is>
          <t>2. Classify against the decision tree, by an architect, in public. Configuration and in-app first; side-by-side for substance; core modification only with a named approver and a date.</t>
        </is>
      </c>
    </row>
    <row r="15">
      <c r="A15" s="2" t="inlineStr">
        <is>
          <t>3. Set an expiry on every modification and every heavy extension. Twelve months by default. The cost sits where the exception sits.</t>
        </is>
      </c>
    </row>
    <row r="16">
      <c r="A16" s="2" t="inlineStr">
        <is>
          <t>4. Each quarter, work the Expiring view: close, extend with a new reason, or promote. An extension without a new reason is a rejection.</t>
        </is>
      </c>
    </row>
    <row r="17">
      <c r="A17" s="2" t="inlineStr">
        <is>
          <t>5. Read the Scorecard aloud once a month, with the specific items rather than only the totals.</t>
        </is>
      </c>
    </row>
    <row r="18">
      <c r="A18" s="2" t="inlineStr"/>
    </row>
    <row r="19">
      <c r="A19" s="3" t="inlineStr">
        <is>
          <t>Two rules that make the register work</t>
        </is>
      </c>
    </row>
    <row r="20">
      <c r="A20" s="2" t="inlineStr">
        <is>
          <t>The buy-out rule. When the same extension appears in the threshold number of markets, it stops being an exception and becomes a missing capability. Central builds it once, side-by-side, funds it, and retires the local copies. Markets stop hiding extensions once they learn a well-argued one might get adopted rather than confiscated.</t>
        </is>
      </c>
    </row>
    <row r="21">
      <c r="A21" s="2" t="inlineStr">
        <is>
          <t>Count modifications publicly. Hiding the number is how a landscape reaches nine hundred of them.</t>
        </is>
      </c>
    </row>
    <row r="22">
      <c r="A22" s="2" t="inlineStr"/>
    </row>
    <row r="23">
      <c r="A23" s="4" t="inlineStr">
        <is>
          <t>Yellow cells are yours to fill. Everything else computes.</t>
        </is>
      </c>
    </row>
    <row r="24">
      <c r="A24" s="4" t="inlineStr">
        <is>
          <t>Companion article: mehdibamou.com/publications/clean-core-integration - free to use and adapt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2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Register as-at date</t>
        </is>
      </c>
      <c r="B2" s="7" t="n">
        <v>46203</v>
      </c>
      <c r="C2" s="8" t="inlineStr">
        <is>
          <t>Month end. Drives ages and the expiring view</t>
        </is>
      </c>
    </row>
    <row r="3">
      <c r="A3" s="6" t="inlineStr">
        <is>
          <t>Default expiry (months)</t>
        </is>
      </c>
      <c r="B3" s="9" t="n">
        <v>12</v>
      </c>
      <c r="C3" s="8" t="inlineStr">
        <is>
          <t>For core modifications and heavy extensions</t>
        </is>
      </c>
    </row>
    <row r="4">
      <c r="A4" s="6" t="inlineStr">
        <is>
          <t>Buy-out threshold (markets)</t>
        </is>
      </c>
      <c r="B4" s="9" t="n">
        <v>3</v>
      </c>
      <c r="C4" s="8" t="inlineStr">
        <is>
          <t>Same extension in this many markets or more becomes a central capability</t>
        </is>
      </c>
    </row>
    <row r="5">
      <c r="A5" s="6" t="inlineStr">
        <is>
          <t>Warn before expiry (days)</t>
        </is>
      </c>
      <c r="B5" s="9" t="n">
        <v>60</v>
      </c>
      <c r="C5" s="8" t="inlineStr">
        <is>
          <t>How early an item shows as due</t>
        </is>
      </c>
    </row>
    <row r="6">
      <c r="A6" s="6" t="inlineStr">
        <is>
          <t>Released-contract target</t>
        </is>
      </c>
      <c r="B6" s="10" t="n">
        <v>0.95</v>
      </c>
      <c r="C6" s="8" t="inlineStr">
        <is>
          <t>Set it where you intend to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1" t="inlineStr">
        <is>
          <t>Configuration</t>
        </is>
      </c>
      <c r="B1" s="11" t="inlineStr">
        <is>
          <t>Statutory</t>
        </is>
      </c>
      <c r="C1" s="11" t="inlineStr">
        <is>
          <t>Requested</t>
        </is>
      </c>
      <c r="D1" s="11" t="inlineStr">
        <is>
          <t>API</t>
        </is>
      </c>
      <c r="E1" s="11" t="inlineStr">
        <is>
          <t>Inbound</t>
        </is>
      </c>
      <c r="F1" s="11" t="inlineStr">
        <is>
          <t>Released</t>
        </is>
      </c>
      <c r="G1" s="11" t="inlineStr">
        <is>
          <t>Market</t>
        </is>
      </c>
    </row>
    <row r="2">
      <c r="A2" s="11" t="inlineStr">
        <is>
          <t>In-app extension</t>
        </is>
      </c>
      <c r="B2" s="11" t="inlineStr">
        <is>
          <t>Differentiating</t>
        </is>
      </c>
      <c r="C2" s="11" t="inlineStr">
        <is>
          <t>Classified</t>
        </is>
      </c>
      <c r="D2" s="11" t="inlineStr">
        <is>
          <t>Event</t>
        </is>
      </c>
      <c r="E2" s="11" t="inlineStr">
        <is>
          <t>Outbound</t>
        </is>
      </c>
      <c r="F2" s="11" t="inlineStr">
        <is>
          <t>Bridge - expiry set</t>
        </is>
      </c>
      <c r="G2" s="11" t="inlineStr">
        <is>
          <t>Central</t>
        </is>
      </c>
    </row>
    <row r="3">
      <c r="A3" s="11" t="inlineStr">
        <is>
          <t>Side-by-side</t>
        </is>
      </c>
      <c r="B3" s="11" t="inlineStr">
        <is>
          <t>Historic preference</t>
        </is>
      </c>
      <c r="C3" s="11" t="inlineStr">
        <is>
          <t>Approved</t>
        </is>
      </c>
      <c r="D3" s="11" t="inlineStr">
        <is>
          <t>File</t>
        </is>
      </c>
      <c r="E3" s="11" t="inlineStr">
        <is>
          <t>Both</t>
        </is>
      </c>
      <c r="F3" s="11" t="inlineStr">
        <is>
          <t>Unreleased</t>
        </is>
      </c>
      <c r="G3" s="11" t="inlineStr">
        <is>
          <t>Group function</t>
        </is>
      </c>
    </row>
    <row r="4">
      <c r="A4" s="11" t="inlineStr">
        <is>
          <t>Core modification</t>
        </is>
      </c>
      <c r="C4" s="11" t="inlineStr">
        <is>
          <t>Built</t>
        </is>
      </c>
      <c r="D4" s="11" t="inlineStr">
        <is>
          <t>Direct DB</t>
        </is>
      </c>
    </row>
    <row r="5">
      <c r="A5" s="11" t="inlineStr">
        <is>
          <t>Fit-gap list</t>
        </is>
      </c>
      <c r="C5" s="11" t="inlineStr">
        <is>
          <t>Live</t>
        </is>
      </c>
      <c r="D5" s="11" t="inlineStr">
        <is>
          <t>Point-to-point</t>
        </is>
      </c>
    </row>
    <row r="6">
      <c r="C6" s="11" t="inlineStr">
        <is>
          <t>Expiring</t>
        </is>
      </c>
    </row>
    <row r="7">
      <c r="C7" s="11" t="inlineStr">
        <is>
          <t>Retired</t>
        </is>
      </c>
    </row>
    <row r="8">
      <c r="C8" s="11" t="inlineStr">
        <is>
          <t>Bought out</t>
        </is>
      </c>
    </row>
    <row r="9">
      <c r="C9" s="11" t="inlineStr">
        <is>
          <t>Rejected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40" customWidth="1" min="5" max="5"/>
    <col width="30" customWidth="1" min="6" max="6"/>
    <col width="30" customWidth="1" min="7" max="7"/>
    <col width="18" customWidth="1" min="8" max="8"/>
    <col width="20" customWidth="1" min="9" max="9"/>
    <col width="14" customWidth="1" min="10" max="10"/>
    <col width="18" customWidth="1" min="11" max="11"/>
    <col width="16" customWidth="1" min="12" max="12"/>
    <col width="13" customWidth="1" min="13" max="13"/>
    <col width="13" customWidth="1" min="14" max="14"/>
    <col width="12" customWidth="1" min="15" max="15"/>
    <col width="14" customWidth="1" min="16" max="16"/>
    <col width="11" customWidth="1" min="17" max="17"/>
    <col width="38" customWidth="1" min="18" max="18"/>
  </cols>
  <sheetData>
    <row r="1">
      <c r="A1" s="12" t="inlineStr">
        <is>
          <t>Req ID</t>
        </is>
      </c>
      <c r="B1" s="12" t="inlineStr">
        <is>
          <t>Raised</t>
        </is>
      </c>
      <c r="C1" s="12" t="inlineStr">
        <is>
          <t>Market / function</t>
        </is>
      </c>
      <c r="D1" s="12" t="inlineStr">
        <is>
          <t>Requester</t>
        </is>
      </c>
      <c r="E1" s="12" t="inlineStr">
        <is>
          <t>Need (one line)</t>
        </is>
      </c>
      <c r="F1" s="12" t="inlineStr">
        <is>
          <t>Standard does today</t>
        </is>
      </c>
      <c r="G1" s="12" t="inlineStr">
        <is>
          <t>What breaks</t>
        </is>
      </c>
      <c r="H1" s="12" t="inlineStr">
        <is>
          <t>Bucket</t>
        </is>
      </c>
      <c r="I1" s="12" t="inlineStr">
        <is>
          <t>Place</t>
        </is>
      </c>
      <c r="J1" s="12" t="inlineStr">
        <is>
          <t>Status</t>
        </is>
      </c>
      <c r="K1" s="12" t="inlineStr">
        <is>
          <t>Owner</t>
        </is>
      </c>
      <c r="L1" s="12" t="inlineStr">
        <is>
          <t>Funded by</t>
        </is>
      </c>
      <c r="M1" s="12" t="inlineStr">
        <is>
          <t>Build est (days)</t>
        </is>
      </c>
      <c r="N1" s="12" t="inlineStr">
        <is>
          <t>Run cost / yr</t>
        </is>
      </c>
      <c r="O1" s="12" t="inlineStr">
        <is>
          <t>Expiry</t>
        </is>
      </c>
      <c r="P1" s="12" t="inlineStr">
        <is>
          <t>Days to expiry</t>
        </is>
      </c>
      <c r="Q1" s="12" t="inlineStr">
        <is>
          <t>Age (days)</t>
        </is>
      </c>
      <c r="R1" s="12" t="inlineStr">
        <is>
          <t>What would make this go away</t>
        </is>
      </c>
    </row>
    <row r="2">
      <c r="A2" s="13" t="inlineStr">
        <is>
          <t>EXT-001</t>
        </is>
      </c>
      <c r="B2" s="14" t="n">
        <v>45904</v>
      </c>
      <c r="C2" s="13" t="inlineStr">
        <is>
          <t>Market A</t>
        </is>
      </c>
      <c r="D2" s="13" t="inlineStr">
        <is>
          <t>H. Roth</t>
        </is>
      </c>
      <c r="E2" s="13" t="inlineStr">
        <is>
          <t>Extra approval on purchase orders over a threshold</t>
        </is>
      </c>
      <c r="F2" s="13" t="inlineStr">
        <is>
          <t>Release strategy exists but was never configured</t>
        </is>
      </c>
      <c r="G2" s="13" t="inlineStr">
        <is>
          <t>Nothing - the need is met once configured</t>
        </is>
      </c>
      <c r="H2" s="13" t="inlineStr">
        <is>
          <t>Historic preference</t>
        </is>
      </c>
      <c r="I2" s="13" t="inlineStr">
        <is>
          <t>Configuration</t>
        </is>
      </c>
      <c r="J2" s="13" t="inlineStr">
        <is>
          <t>Live</t>
        </is>
      </c>
      <c r="K2" s="13" t="inlineStr">
        <is>
          <t>H. Roth</t>
        </is>
      </c>
      <c r="L2" s="13" t="inlineStr">
        <is>
          <t>Market</t>
        </is>
      </c>
      <c r="M2" s="15" t="n">
        <v>2</v>
      </c>
      <c r="N2" s="15" t="n">
        <v>0</v>
      </c>
      <c r="O2" s="13" t="n"/>
      <c r="P2" s="13">
        <f>IF(O2="","",O2-Settings!$B$2)</f>
        <v/>
      </c>
      <c r="Q2" s="16">
        <f>IF(B2="",0,Settings!$B$2-B2)</f>
        <v/>
      </c>
      <c r="R2" s="13" t="inlineStr">
        <is>
          <t>Already resolved - configuration</t>
        </is>
      </c>
    </row>
    <row r="3">
      <c r="A3" s="13" t="inlineStr">
        <is>
          <t>EXT-002</t>
        </is>
      </c>
      <c r="B3" s="14" t="n">
        <v>45919</v>
      </c>
      <c r="C3" s="13" t="inlineStr">
        <is>
          <t>Market B</t>
        </is>
      </c>
      <c r="D3" s="13" t="inlineStr">
        <is>
          <t>L. Nowak</t>
        </is>
      </c>
      <c r="E3" s="13" t="inlineStr">
        <is>
          <t>Statutory e-invoice layout</t>
        </is>
      </c>
      <c r="F3" s="13" t="inlineStr">
        <is>
          <t>Standard layout does not carry the required fields</t>
        </is>
      </c>
      <c r="G3" s="13" t="inlineStr">
        <is>
          <t>Invoices rejected by the tax authority</t>
        </is>
      </c>
      <c r="H3" s="13" t="inlineStr">
        <is>
          <t>Statutory</t>
        </is>
      </c>
      <c r="I3" s="13" t="inlineStr">
        <is>
          <t>In-app extension</t>
        </is>
      </c>
      <c r="J3" s="13" t="inlineStr">
        <is>
          <t>Live</t>
        </is>
      </c>
      <c r="K3" s="13" t="inlineStr">
        <is>
          <t>Localization lead</t>
        </is>
      </c>
      <c r="L3" s="13" t="inlineStr">
        <is>
          <t>Central</t>
        </is>
      </c>
      <c r="M3" s="15" t="n">
        <v>14</v>
      </c>
      <c r="N3" s="15" t="n">
        <v>4000</v>
      </c>
      <c r="O3" s="14" t="n">
        <v>46934</v>
      </c>
      <c r="P3" s="13">
        <f>IF(O3="","",O3-Settings!$B$2)</f>
        <v/>
      </c>
      <c r="Q3" s="16">
        <f>IF(B3="",0,Settings!$B$2-B3)</f>
        <v/>
      </c>
      <c r="R3" s="13" t="inlineStr">
        <is>
          <t>Vendor country version covers it from release 2028</t>
        </is>
      </c>
    </row>
    <row r="4">
      <c r="A4" s="13" t="inlineStr">
        <is>
          <t>EXT-003</t>
        </is>
      </c>
      <c r="B4" s="14" t="n">
        <v>45932</v>
      </c>
      <c r="C4" s="13" t="inlineStr">
        <is>
          <t>Market C</t>
        </is>
      </c>
      <c r="D4" s="13" t="inlineStr">
        <is>
          <t>S. Dubois</t>
        </is>
      </c>
      <c r="E4" s="13" t="inlineStr">
        <is>
          <t>Local supplier register check at goods receipt</t>
        </is>
      </c>
      <c r="F4" s="13" t="inlineStr">
        <is>
          <t>No equivalent check</t>
        </is>
      </c>
      <c r="G4" s="13" t="inlineStr">
        <is>
          <t>Manual reconciliation, two FTE days a week</t>
        </is>
      </c>
      <c r="H4" s="13" t="inlineStr">
        <is>
          <t>Historic preference</t>
        </is>
      </c>
      <c r="I4" s="13" t="inlineStr">
        <is>
          <t>Side-by-side</t>
        </is>
      </c>
      <c r="J4" s="13" t="inlineStr">
        <is>
          <t>Live</t>
        </is>
      </c>
      <c r="K4" s="13" t="inlineStr">
        <is>
          <t>Integration team</t>
        </is>
      </c>
      <c r="L4" s="13" t="inlineStr">
        <is>
          <t>Market</t>
        </is>
      </c>
      <c r="M4" s="15" t="n">
        <v>25</v>
      </c>
      <c r="N4" s="15" t="n">
        <v>12000</v>
      </c>
      <c r="O4" s="14" t="n">
        <v>46297</v>
      </c>
      <c r="P4" s="13">
        <f>IF(O4="","",O4-Settings!$B$2)</f>
        <v/>
      </c>
      <c r="Q4" s="16">
        <f>IF(B4="",0,Settings!$B$2-B4)</f>
        <v/>
      </c>
      <c r="R4" s="13" t="inlineStr">
        <is>
          <t>Group supplier master covers it once market C is migrated</t>
        </is>
      </c>
    </row>
    <row r="5">
      <c r="A5" s="13" t="inlineStr">
        <is>
          <t>EXT-004</t>
        </is>
      </c>
      <c r="B5" s="14" t="n">
        <v>45972</v>
      </c>
      <c r="C5" s="13" t="inlineStr">
        <is>
          <t>Market A</t>
        </is>
      </c>
      <c r="D5" s="13" t="inlineStr">
        <is>
          <t>H. Roth</t>
        </is>
      </c>
      <c r="E5" s="13" t="inlineStr">
        <is>
          <t>Custom pricing condition in the core</t>
        </is>
      </c>
      <c r="F5" s="13" t="inlineStr">
        <is>
          <t>Condition technique cannot express the rule</t>
        </is>
      </c>
      <c r="G5" s="13" t="inlineStr">
        <is>
          <t>Manual price overrides on 8 per cent of orders</t>
        </is>
      </c>
      <c r="H5" s="13" t="inlineStr">
        <is>
          <t>Differentiating</t>
        </is>
      </c>
      <c r="I5" s="13" t="inlineStr">
        <is>
          <t>Core modification</t>
        </is>
      </c>
      <c r="J5" s="13" t="inlineStr">
        <is>
          <t>Expiring</t>
        </is>
      </c>
      <c r="K5" s="13" t="inlineStr">
        <is>
          <t>Pricing architect</t>
        </is>
      </c>
      <c r="L5" s="13" t="inlineStr">
        <is>
          <t>Central</t>
        </is>
      </c>
      <c r="M5" s="15" t="n">
        <v>40</v>
      </c>
      <c r="N5" s="15" t="n">
        <v>30000</v>
      </c>
      <c r="O5" s="14" t="n">
        <v>46337</v>
      </c>
      <c r="P5" s="13">
        <f>IF(O5="","",O5-Settings!$B$2)</f>
        <v/>
      </c>
      <c r="Q5" s="16">
        <f>IF(B5="",0,Settings!$B$2-B5)</f>
        <v/>
      </c>
      <c r="R5" s="13" t="inlineStr">
        <is>
          <t>Side-by-side pricing service planned for Q4</t>
        </is>
      </c>
    </row>
    <row r="6">
      <c r="A6" s="13" t="inlineStr">
        <is>
          <t>EXT-005</t>
        </is>
      </c>
      <c r="B6" s="14" t="n">
        <v>45994</v>
      </c>
      <c r="C6" s="13" t="inlineStr">
        <is>
          <t>Market D</t>
        </is>
      </c>
      <c r="D6" s="13" t="inlineStr">
        <is>
          <t>P. Almeida</t>
        </is>
      </c>
      <c r="E6" s="13" t="inlineStr">
        <is>
          <t>Local supplier register check at goods receipt</t>
        </is>
      </c>
      <c r="F6" s="13" t="inlineStr">
        <is>
          <t>No equivalent check</t>
        </is>
      </c>
      <c r="G6" s="13" t="inlineStr">
        <is>
          <t>Manual reconciliation</t>
        </is>
      </c>
      <c r="H6" s="13" t="inlineStr">
        <is>
          <t>Historic preference</t>
        </is>
      </c>
      <c r="I6" s="13" t="inlineStr">
        <is>
          <t>Side-by-side</t>
        </is>
      </c>
      <c r="J6" s="13" t="inlineStr">
        <is>
          <t>Built</t>
        </is>
      </c>
      <c r="K6" s="13" t="inlineStr">
        <is>
          <t>Integration team</t>
        </is>
      </c>
      <c r="L6" s="13" t="inlineStr">
        <is>
          <t>Market</t>
        </is>
      </c>
      <c r="M6" s="15" t="n">
        <v>20</v>
      </c>
      <c r="N6" s="15" t="n">
        <v>9000</v>
      </c>
      <c r="O6" s="14" t="n">
        <v>46359</v>
      </c>
      <c r="P6" s="13">
        <f>IF(O6="","",O6-Settings!$B$2)</f>
        <v/>
      </c>
      <c r="Q6" s="16">
        <f>IF(B6="",0,Settings!$B$2-B6)</f>
        <v/>
      </c>
      <c r="R6" s="13" t="inlineStr">
        <is>
          <t>Same as EXT-003 - candidate for buy-out</t>
        </is>
      </c>
    </row>
    <row r="7">
      <c r="A7" s="13" t="inlineStr">
        <is>
          <t>EXT-006</t>
        </is>
      </c>
      <c r="B7" s="14" t="n">
        <v>46038</v>
      </c>
      <c r="C7" s="13" t="inlineStr">
        <is>
          <t>Market E</t>
        </is>
      </c>
      <c r="D7" s="13" t="inlineStr">
        <is>
          <t>N. Berg</t>
        </is>
      </c>
      <c r="E7" s="13" t="inlineStr">
        <is>
          <t>Local supplier register check at goods receipt</t>
        </is>
      </c>
      <c r="F7" s="13" t="inlineStr">
        <is>
          <t>No equivalent check</t>
        </is>
      </c>
      <c r="G7" s="13" t="inlineStr">
        <is>
          <t>Manual reconciliation</t>
        </is>
      </c>
      <c r="H7" s="13" t="inlineStr">
        <is>
          <t>Historic preference</t>
        </is>
      </c>
      <c r="I7" s="13" t="inlineStr">
        <is>
          <t>Side-by-side</t>
        </is>
      </c>
      <c r="J7" s="13" t="inlineStr">
        <is>
          <t>Approved</t>
        </is>
      </c>
      <c r="K7" s="13" t="inlineStr">
        <is>
          <t>Integration team</t>
        </is>
      </c>
      <c r="L7" s="13" t="inlineStr">
        <is>
          <t>Market</t>
        </is>
      </c>
      <c r="M7" s="15" t="n">
        <v>20</v>
      </c>
      <c r="N7" s="15" t="n">
        <v>9000</v>
      </c>
      <c r="O7" s="14" t="n">
        <v>46403</v>
      </c>
      <c r="P7" s="13">
        <f>IF(O7="","",O7-Settings!$B$2)</f>
        <v/>
      </c>
      <c r="Q7" s="16">
        <f>IF(B7="",0,Settings!$B$2-B7)</f>
        <v/>
      </c>
      <c r="R7" s="13" t="inlineStr">
        <is>
          <t>Third occurrence - buy-out threshold reached</t>
        </is>
      </c>
    </row>
    <row r="8">
      <c r="A8" s="13" t="inlineStr">
        <is>
          <t>EXT-007</t>
        </is>
      </c>
      <c r="B8" s="14" t="n">
        <v>46062</v>
      </c>
      <c r="C8" s="13" t="inlineStr">
        <is>
          <t>Group</t>
        </is>
      </c>
      <c r="D8" s="13" t="inlineStr">
        <is>
          <t>Finance</t>
        </is>
      </c>
      <c r="E8" s="13" t="inlineStr">
        <is>
          <t>Consolidated margin view across markets</t>
        </is>
      </c>
      <c r="F8" s="13" t="inlineStr">
        <is>
          <t>Reporting layer holds only posted figures</t>
        </is>
      </c>
      <c r="G8" s="13" t="inlineStr">
        <is>
          <t>Month-end close runs three days long</t>
        </is>
      </c>
      <c r="H8" s="13" t="inlineStr">
        <is>
          <t>Differentiating</t>
        </is>
      </c>
      <c r="I8" s="13" t="inlineStr">
        <is>
          <t>Side-by-side</t>
        </is>
      </c>
      <c r="J8" s="13" t="inlineStr">
        <is>
          <t>Built</t>
        </is>
      </c>
      <c r="K8" s="13" t="inlineStr">
        <is>
          <t>Data platform</t>
        </is>
      </c>
      <c r="L8" s="13" t="inlineStr">
        <is>
          <t>Group function</t>
        </is>
      </c>
      <c r="M8" s="15" t="n">
        <v>35</v>
      </c>
      <c r="N8" s="15" t="n">
        <v>18000</v>
      </c>
      <c r="O8" s="13" t="n"/>
      <c r="P8" s="13">
        <f>IF(O8="","",O8-Settings!$B$2)</f>
        <v/>
      </c>
      <c r="Q8" s="16">
        <f>IF(B8="",0,Settings!$B$2-B8)</f>
        <v/>
      </c>
      <c r="R8" s="13" t="inlineStr">
        <is>
          <t>Permanent - owned capability, not an exception</t>
        </is>
      </c>
    </row>
    <row r="9">
      <c r="A9" s="13" t="inlineStr">
        <is>
          <t>EXT-008</t>
        </is>
      </c>
      <c r="B9" s="14" t="n">
        <v>46106</v>
      </c>
      <c r="C9" s="13" t="inlineStr">
        <is>
          <t>Market B</t>
        </is>
      </c>
      <c r="D9" s="13" t="inlineStr">
        <is>
          <t>L. Nowak</t>
        </is>
      </c>
      <c r="E9" s="13" t="inlineStr">
        <is>
          <t>Screen field added for local contract reference</t>
        </is>
      </c>
      <c r="F9" s="13" t="inlineStr">
        <is>
          <t>No field</t>
        </is>
      </c>
      <c r="G9" s="13" t="inlineStr">
        <is>
          <t>Reference kept in a spreadsheet</t>
        </is>
      </c>
      <c r="H9" s="13" t="inlineStr">
        <is>
          <t>Historic preference</t>
        </is>
      </c>
      <c r="I9" s="13" t="inlineStr">
        <is>
          <t>In-app extension</t>
        </is>
      </c>
      <c r="J9" s="13" t="inlineStr">
        <is>
          <t>Live</t>
        </is>
      </c>
      <c r="K9" s="13" t="inlineStr">
        <is>
          <t>L. Nowak</t>
        </is>
      </c>
      <c r="L9" s="13" t="inlineStr">
        <is>
          <t>Market</t>
        </is>
      </c>
      <c r="M9" s="15" t="n">
        <v>3</v>
      </c>
      <c r="N9" s="15" t="n">
        <v>500</v>
      </c>
      <c r="O9" s="14" t="n">
        <v>46471</v>
      </c>
      <c r="P9" s="13">
        <f>IF(O9="","",O9-Settings!$B$2)</f>
        <v/>
      </c>
      <c r="Q9" s="16">
        <f>IF(B9="",0,Settings!$B$2-B9)</f>
        <v/>
      </c>
      <c r="R9" s="13" t="inlineStr">
        <is>
          <t>Group contract object exposes the field from release 2027</t>
        </is>
      </c>
    </row>
    <row r="10">
      <c r="A10" s="13" t="inlineStr">
        <is>
          <t>EXT-009</t>
        </is>
      </c>
      <c r="B10" s="14" t="n">
        <v>46126</v>
      </c>
      <c r="C10" s="13" t="inlineStr">
        <is>
          <t>Market C</t>
        </is>
      </c>
      <c r="D10" s="13" t="inlineStr">
        <is>
          <t>S. Dubois</t>
        </is>
      </c>
      <c r="E10" s="13" t="inlineStr">
        <is>
          <t>Modified goods movement posting logic</t>
        </is>
      </c>
      <c r="F10" s="13" t="inlineStr">
        <is>
          <t>Standard posts at a different granularity</t>
        </is>
      </c>
      <c r="G10" s="13" t="inlineStr">
        <is>
          <t>Stock valuation differs from the local statutory basis</t>
        </is>
      </c>
      <c r="H10" s="13" t="inlineStr">
        <is>
          <t>Statutory</t>
        </is>
      </c>
      <c r="I10" s="13" t="inlineStr">
        <is>
          <t>Core modification</t>
        </is>
      </c>
      <c r="J10" s="13" t="inlineStr">
        <is>
          <t>Approved</t>
        </is>
      </c>
      <c r="K10" s="13" t="inlineStr">
        <is>
          <t>Logistics architect</t>
        </is>
      </c>
      <c r="L10" s="13" t="inlineStr">
        <is>
          <t>Central</t>
        </is>
      </c>
      <c r="M10" s="15" t="n">
        <v>30</v>
      </c>
      <c r="N10" s="15" t="n">
        <v>22000</v>
      </c>
      <c r="O10" s="14" t="n">
        <v>46234</v>
      </c>
      <c r="P10" s="13">
        <f>IF(O10="","",O10-Settings!$B$2)</f>
        <v/>
      </c>
      <c r="Q10" s="16">
        <f>IF(B10="",0,Settings!$B$2-B10)</f>
        <v/>
      </c>
      <c r="R10" s="13" t="inlineStr">
        <is>
          <t>Localization layer takes it over once the pattern is generalized</t>
        </is>
      </c>
    </row>
    <row r="11">
      <c r="A11" s="13" t="inlineStr">
        <is>
          <t>EXT-010</t>
        </is>
      </c>
      <c r="B11" s="14" t="n">
        <v>46148</v>
      </c>
      <c r="C11" s="13" t="inlineStr">
        <is>
          <t>Market F</t>
        </is>
      </c>
      <c r="D11" s="13" t="inlineStr">
        <is>
          <t>T. Ivanov</t>
        </is>
      </c>
      <c r="E11" s="13" t="inlineStr">
        <is>
          <t>Bespoke picking sequence</t>
        </is>
      </c>
      <c r="F11" s="13" t="inlineStr">
        <is>
          <t>Standard sequence differs</t>
        </is>
      </c>
      <c r="G11" s="13" t="inlineStr">
        <is>
          <t>Warehouse staff retraining</t>
        </is>
      </c>
      <c r="H11" s="13" t="inlineStr">
        <is>
          <t>Historic preference</t>
        </is>
      </c>
      <c r="I11" s="13" t="inlineStr">
        <is>
          <t>Fit-gap list</t>
        </is>
      </c>
      <c r="J11" s="13" t="inlineStr">
        <is>
          <t>Requested</t>
        </is>
      </c>
      <c r="K11" s="13" t="inlineStr">
        <is>
          <t>Ops architect</t>
        </is>
      </c>
      <c r="L11" s="13" t="inlineStr">
        <is>
          <t>Market</t>
        </is>
      </c>
      <c r="M11" s="13" t="n"/>
      <c r="N11" s="13" t="n"/>
      <c r="O11" s="13" t="n"/>
      <c r="P11" s="13">
        <f>IF(O11="","",O11-Settings!$B$2)</f>
        <v/>
      </c>
      <c r="Q11" s="16">
        <f>IF(B11="",0,Settings!$B$2-B11)</f>
        <v/>
      </c>
      <c r="R11" s="13" t="inlineStr">
        <is>
          <t>Show the standard running with their data before deciding</t>
        </is>
      </c>
    </row>
    <row r="12">
      <c r="A12" s="13" t="inlineStr">
        <is>
          <t>EXT-011</t>
        </is>
      </c>
      <c r="B12" s="14" t="n">
        <v>45881</v>
      </c>
      <c r="C12" s="13" t="inlineStr">
        <is>
          <t>Market B</t>
        </is>
      </c>
      <c r="D12" s="13" t="inlineStr">
        <is>
          <t>L. Nowak</t>
        </is>
      </c>
      <c r="E12" s="13" t="inlineStr">
        <is>
          <t>Modified stock report layout in the core</t>
        </is>
      </c>
      <c r="F12" s="13" t="inlineStr">
        <is>
          <t>Standard report differs in grouping</t>
        </is>
      </c>
      <c r="G12" s="13" t="inlineStr">
        <is>
          <t>Local team reformats by hand each month</t>
        </is>
      </c>
      <c r="H12" s="13" t="inlineStr">
        <is>
          <t>Historic preference</t>
        </is>
      </c>
      <c r="I12" s="13" t="inlineStr">
        <is>
          <t>Core modification</t>
        </is>
      </c>
      <c r="J12" s="13" t="inlineStr">
        <is>
          <t>Retired</t>
        </is>
      </c>
      <c r="K12" s="13" t="inlineStr">
        <is>
          <t>Reporting lead</t>
        </is>
      </c>
      <c r="L12" s="13" t="inlineStr">
        <is>
          <t>Market</t>
        </is>
      </c>
      <c r="M12" s="15" t="n">
        <v>12</v>
      </c>
      <c r="N12" s="15" t="n">
        <v>6000</v>
      </c>
      <c r="O12" s="14" t="n">
        <v>46065</v>
      </c>
      <c r="P12" s="13">
        <f>IF(O12="","",O12-Settings!$B$2)</f>
        <v/>
      </c>
      <c r="Q12" s="16">
        <f>IF(B12="",0,Settings!$B$2-B12)</f>
        <v/>
      </c>
      <c r="R12" s="13" t="inlineStr">
        <is>
          <t>Retired at the Q1 review - switched off in test, nobody noticed for three weeks</t>
        </is>
      </c>
    </row>
    <row r="13">
      <c r="A13" s="13" t="inlineStr">
        <is>
          <t>EXT-012</t>
        </is>
      </c>
      <c r="B13" s="14" t="n">
        <v>45895</v>
      </c>
      <c r="C13" s="13" t="inlineStr">
        <is>
          <t>Market A</t>
        </is>
      </c>
      <c r="D13" s="13" t="inlineStr">
        <is>
          <t>H. Roth</t>
        </is>
      </c>
      <c r="E13" s="13" t="inlineStr">
        <is>
          <t>Modified credit check at order entry</t>
        </is>
      </c>
      <c r="F13" s="13" t="inlineStr">
        <is>
          <t>Standard check runs at a different point</t>
        </is>
      </c>
      <c r="G13" s="13" t="inlineStr">
        <is>
          <t>Orders released before the check</t>
        </is>
      </c>
      <c r="H13" s="13" t="inlineStr">
        <is>
          <t>Historic preference</t>
        </is>
      </c>
      <c r="I13" s="13" t="inlineStr">
        <is>
          <t>Core modification</t>
        </is>
      </c>
      <c r="J13" s="13" t="inlineStr">
        <is>
          <t>Retired</t>
        </is>
      </c>
      <c r="K13" s="13" t="inlineStr">
        <is>
          <t>Order management</t>
        </is>
      </c>
      <c r="L13" s="13" t="inlineStr">
        <is>
          <t>Market</t>
        </is>
      </c>
      <c r="M13" s="15" t="n">
        <v>18</v>
      </c>
      <c r="N13" s="15" t="n">
        <v>11000</v>
      </c>
      <c r="O13" s="14" t="n">
        <v>46138</v>
      </c>
      <c r="P13" s="13">
        <f>IF(O13="","",O13-Settings!$B$2)</f>
        <v/>
      </c>
      <c r="Q13" s="16">
        <f>IF(B13="",0,Settings!$B$2-B13)</f>
        <v/>
      </c>
      <c r="R13" s="13" t="inlineStr">
        <is>
          <t>Replaced by the standard once release 2026 moved the check - the vendor caught up</t>
        </is>
      </c>
    </row>
    <row r="14">
      <c r="A14" s="13" t="inlineStr">
        <is>
          <t>EXT-013</t>
        </is>
      </c>
      <c r="B14" s="14" t="n">
        <v>45960</v>
      </c>
      <c r="C14" s="13" t="inlineStr">
        <is>
          <t>Market D</t>
        </is>
      </c>
      <c r="D14" s="13" t="inlineStr">
        <is>
          <t>P. Almeida</t>
        </is>
      </c>
      <c r="E14" s="13" t="inlineStr">
        <is>
          <t>Local promotion pricing sheet integration</t>
        </is>
      </c>
      <c r="F14" s="13" t="inlineStr">
        <is>
          <t>No interface to the local sheet</t>
        </is>
      </c>
      <c r="G14" s="13" t="inlineStr">
        <is>
          <t>Prices maintained twice</t>
        </is>
      </c>
      <c r="H14" s="13" t="inlineStr">
        <is>
          <t>Historic preference</t>
        </is>
      </c>
      <c r="I14" s="13" t="inlineStr">
        <is>
          <t>Side-by-side</t>
        </is>
      </c>
      <c r="J14" s="13" t="inlineStr">
        <is>
          <t>Bought out</t>
        </is>
      </c>
      <c r="K14" s="13" t="inlineStr">
        <is>
          <t>Pricing architect</t>
        </is>
      </c>
      <c r="L14" s="13" t="inlineStr">
        <is>
          <t>Central</t>
        </is>
      </c>
      <c r="M14" s="15" t="n">
        <v>22</v>
      </c>
      <c r="N14" s="15" t="n">
        <v>10000</v>
      </c>
      <c r="O14" s="13" t="n"/>
      <c r="P14" s="13">
        <f>IF(O14="","",O14-Settings!$B$2)</f>
        <v/>
      </c>
      <c r="Q14" s="16">
        <f>IF(B14="",0,Settings!$B$2-B14)</f>
        <v/>
      </c>
      <c r="R14" s="13" t="inlineStr">
        <is>
          <t>Third market to ask - taken over centrally, local copies retired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8">
        <f>IF(O15="","",O15-Settings!$B$2)</f>
        <v/>
      </c>
      <c r="Q15" s="19">
        <f>IF(B15="",0,Settings!$B$2-B15)</f>
        <v/>
      </c>
      <c r="R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8">
        <f>IF(O16="","",O16-Settings!$B$2)</f>
        <v/>
      </c>
      <c r="Q16" s="19">
        <f>IF(B16="",0,Settings!$B$2-B16)</f>
        <v/>
      </c>
      <c r="R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8">
        <f>IF(O17="","",O17-Settings!$B$2)</f>
        <v/>
      </c>
      <c r="Q17" s="19">
        <f>IF(B17="",0,Settings!$B$2-B17)</f>
        <v/>
      </c>
      <c r="R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8">
        <f>IF(O18="","",O18-Settings!$B$2)</f>
        <v/>
      </c>
      <c r="Q18" s="19">
        <f>IF(B18="",0,Settings!$B$2-B18)</f>
        <v/>
      </c>
      <c r="R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>
        <f>IF(O19="","",O19-Settings!$B$2)</f>
        <v/>
      </c>
      <c r="Q19" s="19">
        <f>IF(B19="",0,Settings!$B$2-B19)</f>
        <v/>
      </c>
      <c r="R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8">
        <f>IF(O20="","",O20-Settings!$B$2)</f>
        <v/>
      </c>
      <c r="Q20" s="19">
        <f>IF(B20="",0,Settings!$B$2-B20)</f>
        <v/>
      </c>
      <c r="R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8">
        <f>IF(O21="","",O21-Settings!$B$2)</f>
        <v/>
      </c>
      <c r="Q21" s="19">
        <f>IF(B21="",0,Settings!$B$2-B21)</f>
        <v/>
      </c>
      <c r="R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8">
        <f>IF(O22="","",O22-Settings!$B$2)</f>
        <v/>
      </c>
      <c r="Q22" s="19">
        <f>IF(B22="",0,Settings!$B$2-B22)</f>
        <v/>
      </c>
      <c r="R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8">
        <f>IF(O23="","",O23-Settings!$B$2)</f>
        <v/>
      </c>
      <c r="Q23" s="19">
        <f>IF(B23="",0,Settings!$B$2-B23)</f>
        <v/>
      </c>
      <c r="R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8">
        <f>IF(O24="","",O24-Settings!$B$2)</f>
        <v/>
      </c>
      <c r="Q24" s="19">
        <f>IF(B24="",0,Settings!$B$2-B24)</f>
        <v/>
      </c>
      <c r="R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8">
        <f>IF(O25="","",O25-Settings!$B$2)</f>
        <v/>
      </c>
      <c r="Q25" s="19">
        <f>IF(B25="",0,Settings!$B$2-B25)</f>
        <v/>
      </c>
      <c r="R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8">
        <f>IF(O26="","",O26-Settings!$B$2)</f>
        <v/>
      </c>
      <c r="Q26" s="19">
        <f>IF(B26="",0,Settings!$B$2-B26)</f>
        <v/>
      </c>
      <c r="R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>
        <f>IF(O27="","",O27-Settings!$B$2)</f>
        <v/>
      </c>
      <c r="Q27" s="19">
        <f>IF(B27="",0,Settings!$B$2-B27)</f>
        <v/>
      </c>
      <c r="R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8">
        <f>IF(O28="","",O28-Settings!$B$2)</f>
        <v/>
      </c>
      <c r="Q28" s="19">
        <f>IF(B28="",0,Settings!$B$2-B28)</f>
        <v/>
      </c>
      <c r="R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8">
        <f>IF(O29="","",O29-Settings!$B$2)</f>
        <v/>
      </c>
      <c r="Q29" s="19">
        <f>IF(B29="",0,Settings!$B$2-B29)</f>
        <v/>
      </c>
      <c r="R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8">
        <f>IF(O30="","",O30-Settings!$B$2)</f>
        <v/>
      </c>
      <c r="Q30" s="19">
        <f>IF(B30="",0,Settings!$B$2-B30)</f>
        <v/>
      </c>
      <c r="R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8">
        <f>IF(O31="","",O31-Settings!$B$2)</f>
        <v/>
      </c>
      <c r="Q31" s="19">
        <f>IF(B31="",0,Settings!$B$2-B31)</f>
        <v/>
      </c>
      <c r="R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8">
        <f>IF(O32="","",O32-Settings!$B$2)</f>
        <v/>
      </c>
      <c r="Q32" s="19">
        <f>IF(B32="",0,Settings!$B$2-B32)</f>
        <v/>
      </c>
      <c r="R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8">
        <f>IF(O33="","",O33-Settings!$B$2)</f>
        <v/>
      </c>
      <c r="Q33" s="19">
        <f>IF(B33="",0,Settings!$B$2-B33)</f>
        <v/>
      </c>
      <c r="R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8">
        <f>IF(O34="","",O34-Settings!$B$2)</f>
        <v/>
      </c>
      <c r="Q34" s="19">
        <f>IF(B34="",0,Settings!$B$2-B34)</f>
        <v/>
      </c>
      <c r="R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8">
        <f>IF(O35="","",O35-Settings!$B$2)</f>
        <v/>
      </c>
      <c r="Q35" s="19">
        <f>IF(B35="",0,Settings!$B$2-B35)</f>
        <v/>
      </c>
      <c r="R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8">
        <f>IF(O36="","",O36-Settings!$B$2)</f>
        <v/>
      </c>
      <c r="Q36" s="19">
        <f>IF(B36="",0,Settings!$B$2-B36)</f>
        <v/>
      </c>
      <c r="R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8">
        <f>IF(O37="","",O37-Settings!$B$2)</f>
        <v/>
      </c>
      <c r="Q37" s="19">
        <f>IF(B37="",0,Settings!$B$2-B37)</f>
        <v/>
      </c>
      <c r="R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8">
        <f>IF(O38="","",O38-Settings!$B$2)</f>
        <v/>
      </c>
      <c r="Q38" s="19">
        <f>IF(B38="",0,Settings!$B$2-B38)</f>
        <v/>
      </c>
      <c r="R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8">
        <f>IF(O39="","",O39-Settings!$B$2)</f>
        <v/>
      </c>
      <c r="Q39" s="19">
        <f>IF(B39="",0,Settings!$B$2-B39)</f>
        <v/>
      </c>
      <c r="R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8">
        <f>IF(O40="","",O40-Settings!$B$2)</f>
        <v/>
      </c>
      <c r="Q40" s="19">
        <f>IF(B40="",0,Settings!$B$2-B40)</f>
        <v/>
      </c>
      <c r="R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8">
        <f>IF(O41="","",O41-Settings!$B$2)</f>
        <v/>
      </c>
      <c r="Q41" s="19">
        <f>IF(B41="",0,Settings!$B$2-B41)</f>
        <v/>
      </c>
      <c r="R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8">
        <f>IF(O42="","",O42-Settings!$B$2)</f>
        <v/>
      </c>
      <c r="Q42" s="19">
        <f>IF(B42="",0,Settings!$B$2-B42)</f>
        <v/>
      </c>
      <c r="R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8">
        <f>IF(O43="","",O43-Settings!$B$2)</f>
        <v/>
      </c>
      <c r="Q43" s="19">
        <f>IF(B43="",0,Settings!$B$2-B43)</f>
        <v/>
      </c>
      <c r="R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8">
        <f>IF(O44="","",O44-Settings!$B$2)</f>
        <v/>
      </c>
      <c r="Q44" s="19">
        <f>IF(B44="",0,Settings!$B$2-B44)</f>
        <v/>
      </c>
      <c r="R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8">
        <f>IF(O45="","",O45-Settings!$B$2)</f>
        <v/>
      </c>
      <c r="Q45" s="19">
        <f>IF(B45="",0,Settings!$B$2-B45)</f>
        <v/>
      </c>
      <c r="R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8">
        <f>IF(O46="","",O46-Settings!$B$2)</f>
        <v/>
      </c>
      <c r="Q46" s="19">
        <f>IF(B46="",0,Settings!$B$2-B46)</f>
        <v/>
      </c>
      <c r="R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8">
        <f>IF(O47="","",O47-Settings!$B$2)</f>
        <v/>
      </c>
      <c r="Q47" s="19">
        <f>IF(B47="",0,Settings!$B$2-B47)</f>
        <v/>
      </c>
      <c r="R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8">
        <f>IF(O48="","",O48-Settings!$B$2)</f>
        <v/>
      </c>
      <c r="Q48" s="19">
        <f>IF(B48="",0,Settings!$B$2-B48)</f>
        <v/>
      </c>
      <c r="R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8">
        <f>IF(O49="","",O49-Settings!$B$2)</f>
        <v/>
      </c>
      <c r="Q49" s="19">
        <f>IF(B49="",0,Settings!$B$2-B49)</f>
        <v/>
      </c>
      <c r="R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8">
        <f>IF(O50="","",O50-Settings!$B$2)</f>
        <v/>
      </c>
      <c r="Q50" s="19">
        <f>IF(B50="",0,Settings!$B$2-B50)</f>
        <v/>
      </c>
      <c r="R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8">
        <f>IF(O51="","",O51-Settings!$B$2)</f>
        <v/>
      </c>
      <c r="Q51" s="19">
        <f>IF(B51="",0,Settings!$B$2-B51)</f>
        <v/>
      </c>
      <c r="R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8">
        <f>IF(O52="","",O52-Settings!$B$2)</f>
        <v/>
      </c>
      <c r="Q52" s="19">
        <f>IF(B52="",0,Settings!$B$2-B52)</f>
        <v/>
      </c>
      <c r="R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8">
        <f>IF(O53="","",O53-Settings!$B$2)</f>
        <v/>
      </c>
      <c r="Q53" s="19">
        <f>IF(B53="",0,Settings!$B$2-B53)</f>
        <v/>
      </c>
      <c r="R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8">
        <f>IF(O54="","",O54-Settings!$B$2)</f>
        <v/>
      </c>
      <c r="Q54" s="19">
        <f>IF(B54="",0,Settings!$B$2-B54)</f>
        <v/>
      </c>
      <c r="R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8">
        <f>IF(O55="","",O55-Settings!$B$2)</f>
        <v/>
      </c>
      <c r="Q55" s="19">
        <f>IF(B55="",0,Settings!$B$2-B55)</f>
        <v/>
      </c>
      <c r="R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8">
        <f>IF(O56="","",O56-Settings!$B$2)</f>
        <v/>
      </c>
      <c r="Q56" s="19">
        <f>IF(B56="",0,Settings!$B$2-B56)</f>
        <v/>
      </c>
      <c r="R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8">
        <f>IF(O57="","",O57-Settings!$B$2)</f>
        <v/>
      </c>
      <c r="Q57" s="19">
        <f>IF(B57="",0,Settings!$B$2-B57)</f>
        <v/>
      </c>
      <c r="R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8">
        <f>IF(O58="","",O58-Settings!$B$2)</f>
        <v/>
      </c>
      <c r="Q58" s="19">
        <f>IF(B58="",0,Settings!$B$2-B58)</f>
        <v/>
      </c>
      <c r="R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8">
        <f>IF(O59="","",O59-Settings!$B$2)</f>
        <v/>
      </c>
      <c r="Q59" s="19">
        <f>IF(B59="",0,Settings!$B$2-B59)</f>
        <v/>
      </c>
      <c r="R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8">
        <f>IF(O60="","",O60-Settings!$B$2)</f>
        <v/>
      </c>
      <c r="Q60" s="19">
        <f>IF(B60="",0,Settings!$B$2-B60)</f>
        <v/>
      </c>
      <c r="R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8">
        <f>IF(O61="","",O61-Settings!$B$2)</f>
        <v/>
      </c>
      <c r="Q61" s="19">
        <f>IF(B61="",0,Settings!$B$2-B61)</f>
        <v/>
      </c>
      <c r="R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8">
        <f>IF(O62="","",O62-Settings!$B$2)</f>
        <v/>
      </c>
      <c r="Q62" s="19">
        <f>IF(B62="",0,Settings!$B$2-B62)</f>
        <v/>
      </c>
      <c r="R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8">
        <f>IF(O63="","",O63-Settings!$B$2)</f>
        <v/>
      </c>
      <c r="Q63" s="19">
        <f>IF(B63="",0,Settings!$B$2-B63)</f>
        <v/>
      </c>
      <c r="R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8">
        <f>IF(O64="","",O64-Settings!$B$2)</f>
        <v/>
      </c>
      <c r="Q64" s="19">
        <f>IF(B64="",0,Settings!$B$2-B64)</f>
        <v/>
      </c>
      <c r="R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8">
        <f>IF(O65="","",O65-Settings!$B$2)</f>
        <v/>
      </c>
      <c r="Q65" s="19">
        <f>IF(B65="",0,Settings!$B$2-B65)</f>
        <v/>
      </c>
      <c r="R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8">
        <f>IF(O66="","",O66-Settings!$B$2)</f>
        <v/>
      </c>
      <c r="Q66" s="19">
        <f>IF(B66="",0,Settings!$B$2-B66)</f>
        <v/>
      </c>
      <c r="R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8">
        <f>IF(O67="","",O67-Settings!$B$2)</f>
        <v/>
      </c>
      <c r="Q67" s="19">
        <f>IF(B67="",0,Settings!$B$2-B67)</f>
        <v/>
      </c>
      <c r="R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8">
        <f>IF(O68="","",O68-Settings!$B$2)</f>
        <v/>
      </c>
      <c r="Q68" s="19">
        <f>IF(B68="",0,Settings!$B$2-B68)</f>
        <v/>
      </c>
      <c r="R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8">
        <f>IF(O69="","",O69-Settings!$B$2)</f>
        <v/>
      </c>
      <c r="Q69" s="19">
        <f>IF(B69="",0,Settings!$B$2-B69)</f>
        <v/>
      </c>
      <c r="R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8">
        <f>IF(O70="","",O70-Settings!$B$2)</f>
        <v/>
      </c>
      <c r="Q70" s="19">
        <f>IF(B70="",0,Settings!$B$2-B70)</f>
        <v/>
      </c>
      <c r="R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8">
        <f>IF(O71="","",O71-Settings!$B$2)</f>
        <v/>
      </c>
      <c r="Q71" s="19">
        <f>IF(B71="",0,Settings!$B$2-B71)</f>
        <v/>
      </c>
      <c r="R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8">
        <f>IF(O72="","",O72-Settings!$B$2)</f>
        <v/>
      </c>
      <c r="Q72" s="19">
        <f>IF(B72="",0,Settings!$B$2-B72)</f>
        <v/>
      </c>
      <c r="R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8">
        <f>IF(O73="","",O73-Settings!$B$2)</f>
        <v/>
      </c>
      <c r="Q73" s="19">
        <f>IF(B73="",0,Settings!$B$2-B73)</f>
        <v/>
      </c>
      <c r="R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8">
        <f>IF(O74="","",O74-Settings!$B$2)</f>
        <v/>
      </c>
      <c r="Q74" s="19">
        <f>IF(B74="",0,Settings!$B$2-B74)</f>
        <v/>
      </c>
      <c r="R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8">
        <f>IF(O75="","",O75-Settings!$B$2)</f>
        <v/>
      </c>
      <c r="Q75" s="19">
        <f>IF(B75="",0,Settings!$B$2-B75)</f>
        <v/>
      </c>
      <c r="R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8">
        <f>IF(O76="","",O76-Settings!$B$2)</f>
        <v/>
      </c>
      <c r="Q76" s="19">
        <f>IF(B76="",0,Settings!$B$2-B76)</f>
        <v/>
      </c>
      <c r="R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8">
        <f>IF(O77="","",O77-Settings!$B$2)</f>
        <v/>
      </c>
      <c r="Q77" s="19">
        <f>IF(B77="",0,Settings!$B$2-B77)</f>
        <v/>
      </c>
      <c r="R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8">
        <f>IF(O78="","",O78-Settings!$B$2)</f>
        <v/>
      </c>
      <c r="Q78" s="19">
        <f>IF(B78="",0,Settings!$B$2-B78)</f>
        <v/>
      </c>
      <c r="R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8">
        <f>IF(O79="","",O79-Settings!$B$2)</f>
        <v/>
      </c>
      <c r="Q79" s="19">
        <f>IF(B79="",0,Settings!$B$2-B79)</f>
        <v/>
      </c>
      <c r="R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8">
        <f>IF(O80="","",O80-Settings!$B$2)</f>
        <v/>
      </c>
      <c r="Q80" s="19">
        <f>IF(B80="",0,Settings!$B$2-B80)</f>
        <v/>
      </c>
      <c r="R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8">
        <f>IF(O81="","",O81-Settings!$B$2)</f>
        <v/>
      </c>
      <c r="Q81" s="19">
        <f>IF(B81="",0,Settings!$B$2-B81)</f>
        <v/>
      </c>
      <c r="R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8">
        <f>IF(O82="","",O82-Settings!$B$2)</f>
        <v/>
      </c>
      <c r="Q82" s="19">
        <f>IF(B82="",0,Settings!$B$2-B82)</f>
        <v/>
      </c>
      <c r="R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8">
        <f>IF(O83="","",O83-Settings!$B$2)</f>
        <v/>
      </c>
      <c r="Q83" s="19">
        <f>IF(B83="",0,Settings!$B$2-B83)</f>
        <v/>
      </c>
      <c r="R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8">
        <f>IF(O84="","",O84-Settings!$B$2)</f>
        <v/>
      </c>
      <c r="Q84" s="19">
        <f>IF(B84="",0,Settings!$B$2-B84)</f>
        <v/>
      </c>
      <c r="R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8">
        <f>IF(O85="","",O85-Settings!$B$2)</f>
        <v/>
      </c>
      <c r="Q85" s="19">
        <f>IF(B85="",0,Settings!$B$2-B85)</f>
        <v/>
      </c>
      <c r="R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8">
        <f>IF(O86="","",O86-Settings!$B$2)</f>
        <v/>
      </c>
      <c r="Q86" s="19">
        <f>IF(B86="",0,Settings!$B$2-B86)</f>
        <v/>
      </c>
      <c r="R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8">
        <f>IF(O87="","",O87-Settings!$B$2)</f>
        <v/>
      </c>
      <c r="Q87" s="19">
        <f>IF(B87="",0,Settings!$B$2-B87)</f>
        <v/>
      </c>
      <c r="R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8">
        <f>IF(O88="","",O88-Settings!$B$2)</f>
        <v/>
      </c>
      <c r="Q88" s="19">
        <f>IF(B88="",0,Settings!$B$2-B88)</f>
        <v/>
      </c>
      <c r="R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8">
        <f>IF(O89="","",O89-Settings!$B$2)</f>
        <v/>
      </c>
      <c r="Q89" s="19">
        <f>IF(B89="",0,Settings!$B$2-B89)</f>
        <v/>
      </c>
      <c r="R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8">
        <f>IF(O90="","",O90-Settings!$B$2)</f>
        <v/>
      </c>
      <c r="Q90" s="19">
        <f>IF(B90="",0,Settings!$B$2-B90)</f>
        <v/>
      </c>
      <c r="R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8">
        <f>IF(O91="","",O91-Settings!$B$2)</f>
        <v/>
      </c>
      <c r="Q91" s="19">
        <f>IF(B91="",0,Settings!$B$2-B91)</f>
        <v/>
      </c>
      <c r="R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8">
        <f>IF(O92="","",O92-Settings!$B$2)</f>
        <v/>
      </c>
      <c r="Q92" s="19">
        <f>IF(B92="",0,Settings!$B$2-B92)</f>
        <v/>
      </c>
      <c r="R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8">
        <f>IF(O93="","",O93-Settings!$B$2)</f>
        <v/>
      </c>
      <c r="Q93" s="19">
        <f>IF(B93="",0,Settings!$B$2-B93)</f>
        <v/>
      </c>
      <c r="R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8">
        <f>IF(O94="","",O94-Settings!$B$2)</f>
        <v/>
      </c>
      <c r="Q94" s="19">
        <f>IF(B94="",0,Settings!$B$2-B94)</f>
        <v/>
      </c>
      <c r="R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8">
        <f>IF(O95="","",O95-Settings!$B$2)</f>
        <v/>
      </c>
      <c r="Q95" s="19">
        <f>IF(B95="",0,Settings!$B$2-B95)</f>
        <v/>
      </c>
      <c r="R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8">
        <f>IF(O96="","",O96-Settings!$B$2)</f>
        <v/>
      </c>
      <c r="Q96" s="19">
        <f>IF(B96="",0,Settings!$B$2-B96)</f>
        <v/>
      </c>
      <c r="R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8">
        <f>IF(O97="","",O97-Settings!$B$2)</f>
        <v/>
      </c>
      <c r="Q97" s="19">
        <f>IF(B97="",0,Settings!$B$2-B97)</f>
        <v/>
      </c>
      <c r="R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8">
        <f>IF(O98="","",O98-Settings!$B$2)</f>
        <v/>
      </c>
      <c r="Q98" s="19">
        <f>IF(B98="",0,Settings!$B$2-B98)</f>
        <v/>
      </c>
      <c r="R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8">
        <f>IF(O99="","",O99-Settings!$B$2)</f>
        <v/>
      </c>
      <c r="Q99" s="19">
        <f>IF(B99="",0,Settings!$B$2-B99)</f>
        <v/>
      </c>
      <c r="R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8">
        <f>IF(O100="","",O100-Settings!$B$2)</f>
        <v/>
      </c>
      <c r="Q100" s="19">
        <f>IF(B100="",0,Settings!$B$2-B100)</f>
        <v/>
      </c>
      <c r="R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8">
        <f>IF(O101="","",O101-Settings!$B$2)</f>
        <v/>
      </c>
      <c r="Q101" s="19">
        <f>IF(B101="",0,Settings!$B$2-B101)</f>
        <v/>
      </c>
      <c r="R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8">
        <f>IF(O102="","",O102-Settings!$B$2)</f>
        <v/>
      </c>
      <c r="Q102" s="19">
        <f>IF(B102="",0,Settings!$B$2-B102)</f>
        <v/>
      </c>
      <c r="R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8">
        <f>IF(O103="","",O103-Settings!$B$2)</f>
        <v/>
      </c>
      <c r="Q103" s="19">
        <f>IF(B103="",0,Settings!$B$2-B103)</f>
        <v/>
      </c>
      <c r="R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8">
        <f>IF(O104="","",O104-Settings!$B$2)</f>
        <v/>
      </c>
      <c r="Q104" s="19">
        <f>IF(B104="",0,Settings!$B$2-B104)</f>
        <v/>
      </c>
      <c r="R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8">
        <f>IF(O105="","",O105-Settings!$B$2)</f>
        <v/>
      </c>
      <c r="Q105" s="19">
        <f>IF(B105="",0,Settings!$B$2-B105)</f>
        <v/>
      </c>
      <c r="R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8">
        <f>IF(O106="","",O106-Settings!$B$2)</f>
        <v/>
      </c>
      <c r="Q106" s="19">
        <f>IF(B106="",0,Settings!$B$2-B106)</f>
        <v/>
      </c>
      <c r="R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8">
        <f>IF(O107="","",O107-Settings!$B$2)</f>
        <v/>
      </c>
      <c r="Q107" s="19">
        <f>IF(B107="",0,Settings!$B$2-B107)</f>
        <v/>
      </c>
      <c r="R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8">
        <f>IF(O108="","",O108-Settings!$B$2)</f>
        <v/>
      </c>
      <c r="Q108" s="19">
        <f>IF(B108="",0,Settings!$B$2-B108)</f>
        <v/>
      </c>
      <c r="R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8">
        <f>IF(O109="","",O109-Settings!$B$2)</f>
        <v/>
      </c>
      <c r="Q109" s="19">
        <f>IF(B109="",0,Settings!$B$2-B109)</f>
        <v/>
      </c>
      <c r="R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8">
        <f>IF(O110="","",O110-Settings!$B$2)</f>
        <v/>
      </c>
      <c r="Q110" s="19">
        <f>IF(B110="",0,Settings!$B$2-B110)</f>
        <v/>
      </c>
      <c r="R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8">
        <f>IF(O111="","",O111-Settings!$B$2)</f>
        <v/>
      </c>
      <c r="Q111" s="19">
        <f>IF(B111="",0,Settings!$B$2-B111)</f>
        <v/>
      </c>
      <c r="R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8">
        <f>IF(O112="","",O112-Settings!$B$2)</f>
        <v/>
      </c>
      <c r="Q112" s="19">
        <f>IF(B112="",0,Settings!$B$2-B112)</f>
        <v/>
      </c>
      <c r="R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8">
        <f>IF(O113="","",O113-Settings!$B$2)</f>
        <v/>
      </c>
      <c r="Q113" s="19">
        <f>IF(B113="",0,Settings!$B$2-B113)</f>
        <v/>
      </c>
      <c r="R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8">
        <f>IF(O114="","",O114-Settings!$B$2)</f>
        <v/>
      </c>
      <c r="Q114" s="19">
        <f>IF(B114="",0,Settings!$B$2-B114)</f>
        <v/>
      </c>
      <c r="R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8">
        <f>IF(O115="","",O115-Settings!$B$2)</f>
        <v/>
      </c>
      <c r="Q115" s="19">
        <f>IF(B115="",0,Settings!$B$2-B115)</f>
        <v/>
      </c>
      <c r="R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8">
        <f>IF(O116="","",O116-Settings!$B$2)</f>
        <v/>
      </c>
      <c r="Q116" s="19">
        <f>IF(B116="",0,Settings!$B$2-B116)</f>
        <v/>
      </c>
      <c r="R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8">
        <f>IF(O117="","",O117-Settings!$B$2)</f>
        <v/>
      </c>
      <c r="Q117" s="19">
        <f>IF(B117="",0,Settings!$B$2-B117)</f>
        <v/>
      </c>
      <c r="R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8">
        <f>IF(O118="","",O118-Settings!$B$2)</f>
        <v/>
      </c>
      <c r="Q118" s="19">
        <f>IF(B118="",0,Settings!$B$2-B118)</f>
        <v/>
      </c>
      <c r="R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8">
        <f>IF(O119="","",O119-Settings!$B$2)</f>
        <v/>
      </c>
      <c r="Q119" s="19">
        <f>IF(B119="",0,Settings!$B$2-B119)</f>
        <v/>
      </c>
      <c r="R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8">
        <f>IF(O120="","",O120-Settings!$B$2)</f>
        <v/>
      </c>
      <c r="Q120" s="19">
        <f>IF(B120="",0,Settings!$B$2-B120)</f>
        <v/>
      </c>
      <c r="R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8">
        <f>IF(O121="","",O121-Settings!$B$2)</f>
        <v/>
      </c>
      <c r="Q121" s="19">
        <f>IF(B121="",0,Settings!$B$2-B121)</f>
        <v/>
      </c>
      <c r="R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8">
        <f>IF(O122="","",O122-Settings!$B$2)</f>
        <v/>
      </c>
      <c r="Q122" s="19">
        <f>IF(B122="",0,Settings!$B$2-B122)</f>
        <v/>
      </c>
      <c r="R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8">
        <f>IF(O123="","",O123-Settings!$B$2)</f>
        <v/>
      </c>
      <c r="Q123" s="19">
        <f>IF(B123="",0,Settings!$B$2-B123)</f>
        <v/>
      </c>
      <c r="R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8">
        <f>IF(O124="","",O124-Settings!$B$2)</f>
        <v/>
      </c>
      <c r="Q124" s="19">
        <f>IF(B124="",0,Settings!$B$2-B124)</f>
        <v/>
      </c>
      <c r="R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8">
        <f>IF(O125="","",O125-Settings!$B$2)</f>
        <v/>
      </c>
      <c r="Q125" s="19">
        <f>IF(B125="",0,Settings!$B$2-B125)</f>
        <v/>
      </c>
      <c r="R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8">
        <f>IF(O126="","",O126-Settings!$B$2)</f>
        <v/>
      </c>
      <c r="Q126" s="19">
        <f>IF(B126="",0,Settings!$B$2-B126)</f>
        <v/>
      </c>
      <c r="R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8">
        <f>IF(O127="","",O127-Settings!$B$2)</f>
        <v/>
      </c>
      <c r="Q127" s="19">
        <f>IF(B127="",0,Settings!$B$2-B127)</f>
        <v/>
      </c>
      <c r="R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8">
        <f>IF(O128="","",O128-Settings!$B$2)</f>
        <v/>
      </c>
      <c r="Q128" s="19">
        <f>IF(B128="",0,Settings!$B$2-B128)</f>
        <v/>
      </c>
      <c r="R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8">
        <f>IF(O129="","",O129-Settings!$B$2)</f>
        <v/>
      </c>
      <c r="Q129" s="19">
        <f>IF(B129="",0,Settings!$B$2-B129)</f>
        <v/>
      </c>
      <c r="R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8">
        <f>IF(O130="","",O130-Settings!$B$2)</f>
        <v/>
      </c>
      <c r="Q130" s="19">
        <f>IF(B130="",0,Settings!$B$2-B130)</f>
        <v/>
      </c>
      <c r="R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8">
        <f>IF(O131="","",O131-Settings!$B$2)</f>
        <v/>
      </c>
      <c r="Q131" s="19">
        <f>IF(B131="",0,Settings!$B$2-B131)</f>
        <v/>
      </c>
      <c r="R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8">
        <f>IF(O132="","",O132-Settings!$B$2)</f>
        <v/>
      </c>
      <c r="Q132" s="19">
        <f>IF(B132="",0,Settings!$B$2-B132)</f>
        <v/>
      </c>
      <c r="R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8">
        <f>IF(O133="","",O133-Settings!$B$2)</f>
        <v/>
      </c>
      <c r="Q133" s="19">
        <f>IF(B133="",0,Settings!$B$2-B133)</f>
        <v/>
      </c>
      <c r="R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8">
        <f>IF(O134="","",O134-Settings!$B$2)</f>
        <v/>
      </c>
      <c r="Q134" s="19">
        <f>IF(B134="",0,Settings!$B$2-B134)</f>
        <v/>
      </c>
      <c r="R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8">
        <f>IF(O135="","",O135-Settings!$B$2)</f>
        <v/>
      </c>
      <c r="Q135" s="19">
        <f>IF(B135="",0,Settings!$B$2-B135)</f>
        <v/>
      </c>
      <c r="R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8">
        <f>IF(O136="","",O136-Settings!$B$2)</f>
        <v/>
      </c>
      <c r="Q136" s="19">
        <f>IF(B136="",0,Settings!$B$2-B136)</f>
        <v/>
      </c>
      <c r="R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8">
        <f>IF(O137="","",O137-Settings!$B$2)</f>
        <v/>
      </c>
      <c r="Q137" s="19">
        <f>IF(B137="",0,Settings!$B$2-B137)</f>
        <v/>
      </c>
      <c r="R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8">
        <f>IF(O138="","",O138-Settings!$B$2)</f>
        <v/>
      </c>
      <c r="Q138" s="19">
        <f>IF(B138="",0,Settings!$B$2-B138)</f>
        <v/>
      </c>
      <c r="R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8">
        <f>IF(O139="","",O139-Settings!$B$2)</f>
        <v/>
      </c>
      <c r="Q139" s="19">
        <f>IF(B139="",0,Settings!$B$2-B139)</f>
        <v/>
      </c>
      <c r="R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8">
        <f>IF(O140="","",O140-Settings!$B$2)</f>
        <v/>
      </c>
      <c r="Q140" s="19">
        <f>IF(B140="",0,Settings!$B$2-B140)</f>
        <v/>
      </c>
      <c r="R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8">
        <f>IF(O141="","",O141-Settings!$B$2)</f>
        <v/>
      </c>
      <c r="Q141" s="19">
        <f>IF(B141="",0,Settings!$B$2-B141)</f>
        <v/>
      </c>
      <c r="R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8">
        <f>IF(O142="","",O142-Settings!$B$2)</f>
        <v/>
      </c>
      <c r="Q142" s="19">
        <f>IF(B142="",0,Settings!$B$2-B142)</f>
        <v/>
      </c>
      <c r="R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8">
        <f>IF(O143="","",O143-Settings!$B$2)</f>
        <v/>
      </c>
      <c r="Q143" s="19">
        <f>IF(B143="",0,Settings!$B$2-B143)</f>
        <v/>
      </c>
      <c r="R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8">
        <f>IF(O144="","",O144-Settings!$B$2)</f>
        <v/>
      </c>
      <c r="Q144" s="19">
        <f>IF(B144="",0,Settings!$B$2-B144)</f>
        <v/>
      </c>
      <c r="R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8">
        <f>IF(O145="","",O145-Settings!$B$2)</f>
        <v/>
      </c>
      <c r="Q145" s="19">
        <f>IF(B145="",0,Settings!$B$2-B145)</f>
        <v/>
      </c>
      <c r="R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8">
        <f>IF(O146="","",O146-Settings!$B$2)</f>
        <v/>
      </c>
      <c r="Q146" s="19">
        <f>IF(B146="",0,Settings!$B$2-B146)</f>
        <v/>
      </c>
      <c r="R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8">
        <f>IF(O147="","",O147-Settings!$B$2)</f>
        <v/>
      </c>
      <c r="Q147" s="19">
        <f>IF(B147="",0,Settings!$B$2-B147)</f>
        <v/>
      </c>
      <c r="R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8">
        <f>IF(O148="","",O148-Settings!$B$2)</f>
        <v/>
      </c>
      <c r="Q148" s="19">
        <f>IF(B148="",0,Settings!$B$2-B148)</f>
        <v/>
      </c>
      <c r="R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8">
        <f>IF(O149="","",O149-Settings!$B$2)</f>
        <v/>
      </c>
      <c r="Q149" s="19">
        <f>IF(B149="",0,Settings!$B$2-B149)</f>
        <v/>
      </c>
      <c r="R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8">
        <f>IF(O150="","",O150-Settings!$B$2)</f>
        <v/>
      </c>
      <c r="Q150" s="19">
        <f>IF(B150="",0,Settings!$B$2-B150)</f>
        <v/>
      </c>
      <c r="R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8">
        <f>IF(O151="","",O151-Settings!$B$2)</f>
        <v/>
      </c>
      <c r="Q151" s="19">
        <f>IF(B151="",0,Settings!$B$2-B151)</f>
        <v/>
      </c>
      <c r="R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8">
        <f>IF(O152="","",O152-Settings!$B$2)</f>
        <v/>
      </c>
      <c r="Q152" s="19">
        <f>IF(B152="",0,Settings!$B$2-B152)</f>
        <v/>
      </c>
      <c r="R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8">
        <f>IF(O153="","",O153-Settings!$B$2)</f>
        <v/>
      </c>
      <c r="Q153" s="19">
        <f>IF(B153="",0,Settings!$B$2-B153)</f>
        <v/>
      </c>
      <c r="R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8">
        <f>IF(O154="","",O154-Settings!$B$2)</f>
        <v/>
      </c>
      <c r="Q154" s="19">
        <f>IF(B154="",0,Settings!$B$2-B154)</f>
        <v/>
      </c>
      <c r="R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8">
        <f>IF(O155="","",O155-Settings!$B$2)</f>
        <v/>
      </c>
      <c r="Q155" s="19">
        <f>IF(B155="",0,Settings!$B$2-B155)</f>
        <v/>
      </c>
      <c r="R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8">
        <f>IF(O156="","",O156-Settings!$B$2)</f>
        <v/>
      </c>
      <c r="Q156" s="19">
        <f>IF(B156="",0,Settings!$B$2-B156)</f>
        <v/>
      </c>
      <c r="R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8">
        <f>IF(O157="","",O157-Settings!$B$2)</f>
        <v/>
      </c>
      <c r="Q157" s="19">
        <f>IF(B157="",0,Settings!$B$2-B157)</f>
        <v/>
      </c>
      <c r="R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8">
        <f>IF(O158="","",O158-Settings!$B$2)</f>
        <v/>
      </c>
      <c r="Q158" s="19">
        <f>IF(B158="",0,Settings!$B$2-B158)</f>
        <v/>
      </c>
      <c r="R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8">
        <f>IF(O159="","",O159-Settings!$B$2)</f>
        <v/>
      </c>
      <c r="Q159" s="19">
        <f>IF(B159="",0,Settings!$B$2-B159)</f>
        <v/>
      </c>
      <c r="R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8">
        <f>IF(O160="","",O160-Settings!$B$2)</f>
        <v/>
      </c>
      <c r="Q160" s="19">
        <f>IF(B160="",0,Settings!$B$2-B160)</f>
        <v/>
      </c>
      <c r="R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8">
        <f>IF(O161="","",O161-Settings!$B$2)</f>
        <v/>
      </c>
      <c r="Q161" s="19">
        <f>IF(B161="",0,Settings!$B$2-B161)</f>
        <v/>
      </c>
      <c r="R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8">
        <f>IF(O162="","",O162-Settings!$B$2)</f>
        <v/>
      </c>
      <c r="Q162" s="19">
        <f>IF(B162="",0,Settings!$B$2-B162)</f>
        <v/>
      </c>
      <c r="R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8">
        <f>IF(O163="","",O163-Settings!$B$2)</f>
        <v/>
      </c>
      <c r="Q163" s="19">
        <f>IF(B163="",0,Settings!$B$2-B163)</f>
        <v/>
      </c>
      <c r="R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8">
        <f>IF(O164="","",O164-Settings!$B$2)</f>
        <v/>
      </c>
      <c r="Q164" s="19">
        <f>IF(B164="",0,Settings!$B$2-B164)</f>
        <v/>
      </c>
      <c r="R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8">
        <f>IF(O165="","",O165-Settings!$B$2)</f>
        <v/>
      </c>
      <c r="Q165" s="19">
        <f>IF(B165="",0,Settings!$B$2-B165)</f>
        <v/>
      </c>
      <c r="R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8">
        <f>IF(O166="","",O166-Settings!$B$2)</f>
        <v/>
      </c>
      <c r="Q166" s="19">
        <f>IF(B166="",0,Settings!$B$2-B166)</f>
        <v/>
      </c>
      <c r="R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8">
        <f>IF(O167="","",O167-Settings!$B$2)</f>
        <v/>
      </c>
      <c r="Q167" s="19">
        <f>IF(B167="",0,Settings!$B$2-B167)</f>
        <v/>
      </c>
      <c r="R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8">
        <f>IF(O168="","",O168-Settings!$B$2)</f>
        <v/>
      </c>
      <c r="Q168" s="19">
        <f>IF(B168="",0,Settings!$B$2-B168)</f>
        <v/>
      </c>
      <c r="R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8">
        <f>IF(O169="","",O169-Settings!$B$2)</f>
        <v/>
      </c>
      <c r="Q169" s="19">
        <f>IF(B169="",0,Settings!$B$2-B169)</f>
        <v/>
      </c>
      <c r="R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8">
        <f>IF(O170="","",O170-Settings!$B$2)</f>
        <v/>
      </c>
      <c r="Q170" s="19">
        <f>IF(B170="",0,Settings!$B$2-B170)</f>
        <v/>
      </c>
      <c r="R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8">
        <f>IF(O171="","",O171-Settings!$B$2)</f>
        <v/>
      </c>
      <c r="Q171" s="19">
        <f>IF(B171="",0,Settings!$B$2-B171)</f>
        <v/>
      </c>
      <c r="R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8">
        <f>IF(O172="","",O172-Settings!$B$2)</f>
        <v/>
      </c>
      <c r="Q172" s="19">
        <f>IF(B172="",0,Settings!$B$2-B172)</f>
        <v/>
      </c>
      <c r="R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8">
        <f>IF(O173="","",O173-Settings!$B$2)</f>
        <v/>
      </c>
      <c r="Q173" s="19">
        <f>IF(B173="",0,Settings!$B$2-B173)</f>
        <v/>
      </c>
      <c r="R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8">
        <f>IF(O174="","",O174-Settings!$B$2)</f>
        <v/>
      </c>
      <c r="Q174" s="19">
        <f>IF(B174="",0,Settings!$B$2-B174)</f>
        <v/>
      </c>
      <c r="R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8">
        <f>IF(O175="","",O175-Settings!$B$2)</f>
        <v/>
      </c>
      <c r="Q175" s="19">
        <f>IF(B175="",0,Settings!$B$2-B175)</f>
        <v/>
      </c>
      <c r="R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8">
        <f>IF(O176="","",O176-Settings!$B$2)</f>
        <v/>
      </c>
      <c r="Q176" s="19">
        <f>IF(B176="",0,Settings!$B$2-B176)</f>
        <v/>
      </c>
      <c r="R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8">
        <f>IF(O177="","",O177-Settings!$B$2)</f>
        <v/>
      </c>
      <c r="Q177" s="19">
        <f>IF(B177="",0,Settings!$B$2-B177)</f>
        <v/>
      </c>
      <c r="R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8">
        <f>IF(O178="","",O178-Settings!$B$2)</f>
        <v/>
      </c>
      <c r="Q178" s="19">
        <f>IF(B178="",0,Settings!$B$2-B178)</f>
        <v/>
      </c>
      <c r="R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8">
        <f>IF(O179="","",O179-Settings!$B$2)</f>
        <v/>
      </c>
      <c r="Q179" s="19">
        <f>IF(B179="",0,Settings!$B$2-B179)</f>
        <v/>
      </c>
      <c r="R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8">
        <f>IF(O180="","",O180-Settings!$B$2)</f>
        <v/>
      </c>
      <c r="Q180" s="19">
        <f>IF(B180="",0,Settings!$B$2-B180)</f>
        <v/>
      </c>
      <c r="R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8">
        <f>IF(O181="","",O181-Settings!$B$2)</f>
        <v/>
      </c>
      <c r="Q181" s="19">
        <f>IF(B181="",0,Settings!$B$2-B181)</f>
        <v/>
      </c>
      <c r="R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8">
        <f>IF(O182="","",O182-Settings!$B$2)</f>
        <v/>
      </c>
      <c r="Q182" s="19">
        <f>IF(B182="",0,Settings!$B$2-B182)</f>
        <v/>
      </c>
      <c r="R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8">
        <f>IF(O183="","",O183-Settings!$B$2)</f>
        <v/>
      </c>
      <c r="Q183" s="19">
        <f>IF(B183="",0,Settings!$B$2-B183)</f>
        <v/>
      </c>
      <c r="R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8">
        <f>IF(O184="","",O184-Settings!$B$2)</f>
        <v/>
      </c>
      <c r="Q184" s="19">
        <f>IF(B184="",0,Settings!$B$2-B184)</f>
        <v/>
      </c>
      <c r="R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8">
        <f>IF(O185="","",O185-Settings!$B$2)</f>
        <v/>
      </c>
      <c r="Q185" s="19">
        <f>IF(B185="",0,Settings!$B$2-B185)</f>
        <v/>
      </c>
      <c r="R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8">
        <f>IF(O186="","",O186-Settings!$B$2)</f>
        <v/>
      </c>
      <c r="Q186" s="19">
        <f>IF(B186="",0,Settings!$B$2-B186)</f>
        <v/>
      </c>
      <c r="R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8">
        <f>IF(O187="","",O187-Settings!$B$2)</f>
        <v/>
      </c>
      <c r="Q187" s="19">
        <f>IF(B187="",0,Settings!$B$2-B187)</f>
        <v/>
      </c>
      <c r="R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8">
        <f>IF(O188="","",O188-Settings!$B$2)</f>
        <v/>
      </c>
      <c r="Q188" s="19">
        <f>IF(B188="",0,Settings!$B$2-B188)</f>
        <v/>
      </c>
      <c r="R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8">
        <f>IF(O189="","",O189-Settings!$B$2)</f>
        <v/>
      </c>
      <c r="Q189" s="19">
        <f>IF(B189="",0,Settings!$B$2-B189)</f>
        <v/>
      </c>
      <c r="R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8">
        <f>IF(O190="","",O190-Settings!$B$2)</f>
        <v/>
      </c>
      <c r="Q190" s="19">
        <f>IF(B190="",0,Settings!$B$2-B190)</f>
        <v/>
      </c>
      <c r="R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8">
        <f>IF(O191="","",O191-Settings!$B$2)</f>
        <v/>
      </c>
      <c r="Q191" s="19">
        <f>IF(B191="",0,Settings!$B$2-B191)</f>
        <v/>
      </c>
      <c r="R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8">
        <f>IF(O192="","",O192-Settings!$B$2)</f>
        <v/>
      </c>
      <c r="Q192" s="19">
        <f>IF(B192="",0,Settings!$B$2-B192)</f>
        <v/>
      </c>
      <c r="R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8">
        <f>IF(O193="","",O193-Settings!$B$2)</f>
        <v/>
      </c>
      <c r="Q193" s="19">
        <f>IF(B193="",0,Settings!$B$2-B193)</f>
        <v/>
      </c>
      <c r="R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8">
        <f>IF(O194="","",O194-Settings!$B$2)</f>
        <v/>
      </c>
      <c r="Q194" s="19">
        <f>IF(B194="",0,Settings!$B$2-B194)</f>
        <v/>
      </c>
      <c r="R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8">
        <f>IF(O195="","",O195-Settings!$B$2)</f>
        <v/>
      </c>
      <c r="Q195" s="19">
        <f>IF(B195="",0,Settings!$B$2-B195)</f>
        <v/>
      </c>
      <c r="R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8">
        <f>IF(O196="","",O196-Settings!$B$2)</f>
        <v/>
      </c>
      <c r="Q196" s="19">
        <f>IF(B196="",0,Settings!$B$2-B196)</f>
        <v/>
      </c>
      <c r="R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8">
        <f>IF(O197="","",O197-Settings!$B$2)</f>
        <v/>
      </c>
      <c r="Q197" s="19">
        <f>IF(B197="",0,Settings!$B$2-B197)</f>
        <v/>
      </c>
      <c r="R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8">
        <f>IF(O198="","",O198-Settings!$B$2)</f>
        <v/>
      </c>
      <c r="Q198" s="19">
        <f>IF(B198="",0,Settings!$B$2-B198)</f>
        <v/>
      </c>
      <c r="R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8">
        <f>IF(O199="","",O199-Settings!$B$2)</f>
        <v/>
      </c>
      <c r="Q199" s="19">
        <f>IF(B199="",0,Settings!$B$2-B199)</f>
        <v/>
      </c>
      <c r="R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8">
        <f>IF(O200="","",O200-Settings!$B$2)</f>
        <v/>
      </c>
      <c r="Q200" s="19">
        <f>IF(B200="",0,Settings!$B$2-B200)</f>
        <v/>
      </c>
      <c r="R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8">
        <f>IF(O201="","",O201-Settings!$B$2)</f>
        <v/>
      </c>
      <c r="Q201" s="19">
        <f>IF(B201="",0,Settings!$B$2-B201)</f>
        <v/>
      </c>
      <c r="R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8">
        <f>IF(O202="","",O202-Settings!$B$2)</f>
        <v/>
      </c>
      <c r="Q202" s="19">
        <f>IF(B202="",0,Settings!$B$2-B202)</f>
        <v/>
      </c>
      <c r="R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8">
        <f>IF(O203="","",O203-Settings!$B$2)</f>
        <v/>
      </c>
      <c r="Q203" s="19">
        <f>IF(B203="",0,Settings!$B$2-B203)</f>
        <v/>
      </c>
      <c r="R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8">
        <f>IF(O204="","",O204-Settings!$B$2)</f>
        <v/>
      </c>
      <c r="Q204" s="19">
        <f>IF(B204="",0,Settings!$B$2-B204)</f>
        <v/>
      </c>
      <c r="R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8">
        <f>IF(O205="","",O205-Settings!$B$2)</f>
        <v/>
      </c>
      <c r="Q205" s="19">
        <f>IF(B205="",0,Settings!$B$2-B205)</f>
        <v/>
      </c>
      <c r="R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8">
        <f>IF(O206="","",O206-Settings!$B$2)</f>
        <v/>
      </c>
      <c r="Q206" s="19">
        <f>IF(B206="",0,Settings!$B$2-B206)</f>
        <v/>
      </c>
      <c r="R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8">
        <f>IF(O207="","",O207-Settings!$B$2)</f>
        <v/>
      </c>
      <c r="Q207" s="19">
        <f>IF(B207="",0,Settings!$B$2-B207)</f>
        <v/>
      </c>
      <c r="R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8">
        <f>IF(O208="","",O208-Settings!$B$2)</f>
        <v/>
      </c>
      <c r="Q208" s="19">
        <f>IF(B208="",0,Settings!$B$2-B208)</f>
        <v/>
      </c>
      <c r="R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8">
        <f>IF(O209="","",O209-Settings!$B$2)</f>
        <v/>
      </c>
      <c r="Q209" s="19">
        <f>IF(B209="",0,Settings!$B$2-B209)</f>
        <v/>
      </c>
      <c r="R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8">
        <f>IF(O210="","",O210-Settings!$B$2)</f>
        <v/>
      </c>
      <c r="Q210" s="19">
        <f>IF(B210="",0,Settings!$B$2-B210)</f>
        <v/>
      </c>
      <c r="R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8">
        <f>IF(O211="","",O211-Settings!$B$2)</f>
        <v/>
      </c>
      <c r="Q211" s="19">
        <f>IF(B211="",0,Settings!$B$2-B211)</f>
        <v/>
      </c>
      <c r="R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8">
        <f>IF(O212="","",O212-Settings!$B$2)</f>
        <v/>
      </c>
      <c r="Q212" s="19">
        <f>IF(B212="",0,Settings!$B$2-B212)</f>
        <v/>
      </c>
      <c r="R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8">
        <f>IF(O213="","",O213-Settings!$B$2)</f>
        <v/>
      </c>
      <c r="Q213" s="19">
        <f>IF(B213="",0,Settings!$B$2-B213)</f>
        <v/>
      </c>
      <c r="R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8">
        <f>IF(O214="","",O214-Settings!$B$2)</f>
        <v/>
      </c>
      <c r="Q214" s="19">
        <f>IF(B214="",0,Settings!$B$2-B214)</f>
        <v/>
      </c>
      <c r="R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8">
        <f>IF(O215="","",O215-Settings!$B$2)</f>
        <v/>
      </c>
      <c r="Q215" s="19">
        <f>IF(B215="",0,Settings!$B$2-B215)</f>
        <v/>
      </c>
      <c r="R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8">
        <f>IF(O216="","",O216-Settings!$B$2)</f>
        <v/>
      </c>
      <c r="Q216" s="19">
        <f>IF(B216="",0,Settings!$B$2-B216)</f>
        <v/>
      </c>
      <c r="R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8">
        <f>IF(O217="","",O217-Settings!$B$2)</f>
        <v/>
      </c>
      <c r="Q217" s="19">
        <f>IF(B217="",0,Settings!$B$2-B217)</f>
        <v/>
      </c>
      <c r="R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8">
        <f>IF(O218="","",O218-Settings!$B$2)</f>
        <v/>
      </c>
      <c r="Q218" s="19">
        <f>IF(B218="",0,Settings!$B$2-B218)</f>
        <v/>
      </c>
      <c r="R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8">
        <f>IF(O219="","",O219-Settings!$B$2)</f>
        <v/>
      </c>
      <c r="Q219" s="19">
        <f>IF(B219="",0,Settings!$B$2-B219)</f>
        <v/>
      </c>
      <c r="R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8">
        <f>IF(O220="","",O220-Settings!$B$2)</f>
        <v/>
      </c>
      <c r="Q220" s="19">
        <f>IF(B220="",0,Settings!$B$2-B220)</f>
        <v/>
      </c>
      <c r="R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8">
        <f>IF(O221="","",O221-Settings!$B$2)</f>
        <v/>
      </c>
      <c r="Q221" s="19">
        <f>IF(B221="",0,Settings!$B$2-B221)</f>
        <v/>
      </c>
      <c r="R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8">
        <f>IF(O222="","",O222-Settings!$B$2)</f>
        <v/>
      </c>
      <c r="Q222" s="19">
        <f>IF(B222="",0,Settings!$B$2-B222)</f>
        <v/>
      </c>
      <c r="R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8">
        <f>IF(O223="","",O223-Settings!$B$2)</f>
        <v/>
      </c>
      <c r="Q223" s="19">
        <f>IF(B223="",0,Settings!$B$2-B223)</f>
        <v/>
      </c>
      <c r="R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8">
        <f>IF(O224="","",O224-Settings!$B$2)</f>
        <v/>
      </c>
      <c r="Q224" s="19">
        <f>IF(B224="",0,Settings!$B$2-B224)</f>
        <v/>
      </c>
      <c r="R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8">
        <f>IF(O225="","",O225-Settings!$B$2)</f>
        <v/>
      </c>
      <c r="Q225" s="19">
        <f>IF(B225="",0,Settings!$B$2-B225)</f>
        <v/>
      </c>
      <c r="R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8">
        <f>IF(O226="","",O226-Settings!$B$2)</f>
        <v/>
      </c>
      <c r="Q226" s="19">
        <f>IF(B226="",0,Settings!$B$2-B226)</f>
        <v/>
      </c>
      <c r="R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8">
        <f>IF(O227="","",O227-Settings!$B$2)</f>
        <v/>
      </c>
      <c r="Q227" s="19">
        <f>IF(B227="",0,Settings!$B$2-B227)</f>
        <v/>
      </c>
      <c r="R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8">
        <f>IF(O228="","",O228-Settings!$B$2)</f>
        <v/>
      </c>
      <c r="Q228" s="19">
        <f>IF(B228="",0,Settings!$B$2-B228)</f>
        <v/>
      </c>
      <c r="R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8">
        <f>IF(O229="","",O229-Settings!$B$2)</f>
        <v/>
      </c>
      <c r="Q229" s="19">
        <f>IF(B229="",0,Settings!$B$2-B229)</f>
        <v/>
      </c>
      <c r="R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8">
        <f>IF(O230="","",O230-Settings!$B$2)</f>
        <v/>
      </c>
      <c r="Q230" s="19">
        <f>IF(B230="",0,Settings!$B$2-B230)</f>
        <v/>
      </c>
      <c r="R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8">
        <f>IF(O231="","",O231-Settings!$B$2)</f>
        <v/>
      </c>
      <c r="Q231" s="19">
        <f>IF(B231="",0,Settings!$B$2-B231)</f>
        <v/>
      </c>
      <c r="R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8">
        <f>IF(O232="","",O232-Settings!$B$2)</f>
        <v/>
      </c>
      <c r="Q232" s="19">
        <f>IF(B232="",0,Settings!$B$2-B232)</f>
        <v/>
      </c>
      <c r="R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8">
        <f>IF(O233="","",O233-Settings!$B$2)</f>
        <v/>
      </c>
      <c r="Q233" s="19">
        <f>IF(B233="",0,Settings!$B$2-B233)</f>
        <v/>
      </c>
      <c r="R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8">
        <f>IF(O234="","",O234-Settings!$B$2)</f>
        <v/>
      </c>
      <c r="Q234" s="19">
        <f>IF(B234="",0,Settings!$B$2-B234)</f>
        <v/>
      </c>
      <c r="R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8">
        <f>IF(O235="","",O235-Settings!$B$2)</f>
        <v/>
      </c>
      <c r="Q235" s="19">
        <f>IF(B235="",0,Settings!$B$2-B235)</f>
        <v/>
      </c>
      <c r="R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8">
        <f>IF(O236="","",O236-Settings!$B$2)</f>
        <v/>
      </c>
      <c r="Q236" s="19">
        <f>IF(B236="",0,Settings!$B$2-B236)</f>
        <v/>
      </c>
      <c r="R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8">
        <f>IF(O237="","",O237-Settings!$B$2)</f>
        <v/>
      </c>
      <c r="Q237" s="19">
        <f>IF(B237="",0,Settings!$B$2-B237)</f>
        <v/>
      </c>
      <c r="R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8">
        <f>IF(O238="","",O238-Settings!$B$2)</f>
        <v/>
      </c>
      <c r="Q238" s="19">
        <f>IF(B238="",0,Settings!$B$2-B238)</f>
        <v/>
      </c>
      <c r="R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8">
        <f>IF(O239="","",O239-Settings!$B$2)</f>
        <v/>
      </c>
      <c r="Q239" s="19">
        <f>IF(B239="",0,Settings!$B$2-B239)</f>
        <v/>
      </c>
      <c r="R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8">
        <f>IF(O240="","",O240-Settings!$B$2)</f>
        <v/>
      </c>
      <c r="Q240" s="19">
        <f>IF(B240="",0,Settings!$B$2-B240)</f>
        <v/>
      </c>
      <c r="R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8">
        <f>IF(O241="","",O241-Settings!$B$2)</f>
        <v/>
      </c>
      <c r="Q241" s="19">
        <f>IF(B241="",0,Settings!$B$2-B241)</f>
        <v/>
      </c>
      <c r="R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8">
        <f>IF(O242="","",O242-Settings!$B$2)</f>
        <v/>
      </c>
      <c r="Q242" s="19">
        <f>IF(B242="",0,Settings!$B$2-B242)</f>
        <v/>
      </c>
      <c r="R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8">
        <f>IF(O243="","",O243-Settings!$B$2)</f>
        <v/>
      </c>
      <c r="Q243" s="19">
        <f>IF(B243="",0,Settings!$B$2-B243)</f>
        <v/>
      </c>
      <c r="R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8">
        <f>IF(O244="","",O244-Settings!$B$2)</f>
        <v/>
      </c>
      <c r="Q244" s="19">
        <f>IF(B244="",0,Settings!$B$2-B244)</f>
        <v/>
      </c>
      <c r="R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8">
        <f>IF(O245="","",O245-Settings!$B$2)</f>
        <v/>
      </c>
      <c r="Q245" s="19">
        <f>IF(B245="",0,Settings!$B$2-B245)</f>
        <v/>
      </c>
      <c r="R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8">
        <f>IF(O246="","",O246-Settings!$B$2)</f>
        <v/>
      </c>
      <c r="Q246" s="19">
        <f>IF(B246="",0,Settings!$B$2-B246)</f>
        <v/>
      </c>
      <c r="R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8">
        <f>IF(O247="","",O247-Settings!$B$2)</f>
        <v/>
      </c>
      <c r="Q247" s="19">
        <f>IF(B247="",0,Settings!$B$2-B247)</f>
        <v/>
      </c>
      <c r="R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8">
        <f>IF(O248="","",O248-Settings!$B$2)</f>
        <v/>
      </c>
      <c r="Q248" s="19">
        <f>IF(B248="",0,Settings!$B$2-B248)</f>
        <v/>
      </c>
      <c r="R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8">
        <f>IF(O249="","",O249-Settings!$B$2)</f>
        <v/>
      </c>
      <c r="Q249" s="19">
        <f>IF(B249="",0,Settings!$B$2-B249)</f>
        <v/>
      </c>
      <c r="R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8">
        <f>IF(O250="","",O250-Settings!$B$2)</f>
        <v/>
      </c>
      <c r="Q250" s="19">
        <f>IF(B250="",0,Settings!$B$2-B250)</f>
        <v/>
      </c>
      <c r="R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8">
        <f>IF(O251="","",O251-Settings!$B$2)</f>
        <v/>
      </c>
      <c r="Q251" s="19">
        <f>IF(B251="",0,Settings!$B$2-B251)</f>
        <v/>
      </c>
      <c r="R251" s="17" t="n"/>
    </row>
  </sheetData>
  <autoFilter ref="A1:R251"/>
  <conditionalFormatting sqref="P2:P251">
    <cfRule type="cellIs" priority="1" operator="lessThan" dxfId="0">
      <formula>0</formula>
    </cfRule>
    <cfRule type="cellIs" priority="2" operator="between" dxfId="1">
      <formula>0</formula>
      <formula>Settings!$B$5</formula>
    </cfRule>
  </conditionalFormatting>
  <dataValidations count="4">
    <dataValidation sqref="H2:H251" showDropDown="0" showInputMessage="0" showErrorMessage="0" allowBlank="1" type="list">
      <formula1>=Lists!$B$1:$B$3</formula1>
    </dataValidation>
    <dataValidation sqref="I2:I251" showDropDown="0" showInputMessage="0" showErrorMessage="0" allowBlank="1" type="list">
      <formula1>=Lists!$A$1:$A$5</formula1>
    </dataValidation>
    <dataValidation sqref="J2:J251" showDropDown="0" showInputMessage="0" showErrorMessage="0" allowBlank="1" type="list">
      <formula1>=Lists!$C$1:$C$9</formula1>
    </dataValidation>
    <dataValidation sqref="L2:L251" showDropDown="0" showInputMessage="0" showErrorMessage="0" allowBlank="1" type="list">
      <formula1>=Lists!$G$1:$G$3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  <col width="18" customWidth="1" min="12" max="12"/>
    <col width="13" customWidth="1" min="13" max="13"/>
    <col width="14" customWidth="1" min="14" max="14"/>
    <col width="36" customWidth="1" min="15" max="15"/>
  </cols>
  <sheetData>
    <row r="1">
      <c r="A1" s="12" t="inlineStr">
        <is>
          <t>Int ID</t>
        </is>
      </c>
      <c r="B1" s="12" t="inlineStr">
        <is>
          <t>Name</t>
        </is>
      </c>
      <c r="C1" s="12" t="inlineStr">
        <is>
          <t>Source</t>
        </is>
      </c>
      <c r="D1" s="12" t="inlineStr">
        <is>
          <t>Target</t>
        </is>
      </c>
      <c r="E1" s="12" t="inlineStr">
        <is>
          <t>Object</t>
        </is>
      </c>
      <c r="F1" s="12" t="inlineStr">
        <is>
          <t>Pattern</t>
        </is>
      </c>
      <c r="G1" s="12" t="inlineStr">
        <is>
          <t>Direction</t>
        </is>
      </c>
      <c r="H1" s="12" t="inlineStr">
        <is>
          <t>Contract</t>
        </is>
      </c>
      <c r="I1" s="12" t="inlineStr">
        <is>
          <t>Sync/Async</t>
        </is>
      </c>
      <c r="J1" s="12" t="inlineStr">
        <is>
          <t>Idempotent</t>
        </is>
      </c>
      <c r="K1" s="12" t="inlineStr">
        <is>
          <t>Replayable</t>
        </is>
      </c>
      <c r="L1" s="12" t="inlineStr">
        <is>
          <t>Owner</t>
        </is>
      </c>
      <c r="M1" s="12" t="inlineStr">
        <is>
          <t>Bridge expiry</t>
        </is>
      </c>
      <c r="N1" s="12" t="inlineStr">
        <is>
          <t>Days to expiry</t>
        </is>
      </c>
      <c r="O1" s="12" t="inlineStr">
        <is>
          <t>Notes</t>
        </is>
      </c>
    </row>
    <row r="2">
      <c r="A2" s="13" t="inlineStr">
        <is>
          <t>INT-001</t>
        </is>
      </c>
      <c r="B2" s="13" t="inlineStr">
        <is>
          <t>Supplier master to market portal</t>
        </is>
      </c>
      <c r="C2" s="13" t="inlineStr">
        <is>
          <t>Core</t>
        </is>
      </c>
      <c r="D2" s="13" t="inlineStr">
        <is>
          <t>Portal B</t>
        </is>
      </c>
      <c r="E2" s="13" t="inlineStr">
        <is>
          <t>Supplier</t>
        </is>
      </c>
      <c r="F2" s="13" t="inlineStr">
        <is>
          <t>Event</t>
        </is>
      </c>
      <c r="G2" s="13" t="inlineStr">
        <is>
          <t>Outbound</t>
        </is>
      </c>
      <c r="H2" s="13" t="inlineStr">
        <is>
          <t>Released</t>
        </is>
      </c>
      <c r="I2" s="13" t="inlineStr">
        <is>
          <t>Async</t>
        </is>
      </c>
      <c r="J2" s="13" t="inlineStr">
        <is>
          <t>Yes</t>
        </is>
      </c>
      <c r="K2" s="13" t="inlineStr">
        <is>
          <t>Yes</t>
        </is>
      </c>
      <c r="L2" s="13" t="inlineStr">
        <is>
          <t>Integration team</t>
        </is>
      </c>
      <c r="M2" s="13" t="n"/>
      <c r="N2" s="13">
        <f>IF(M2="","",M2-Settings!$B$2)</f>
        <v/>
      </c>
      <c r="O2" s="13" t="inlineStr">
        <is>
          <t>Canonical supplier shape; dialect translated at the portal edge</t>
        </is>
      </c>
    </row>
    <row r="3">
      <c r="A3" s="13" t="inlineStr">
        <is>
          <t>INT-002</t>
        </is>
      </c>
      <c r="B3" s="13" t="inlineStr">
        <is>
          <t>Sales orders from web shop</t>
        </is>
      </c>
      <c r="C3" s="13" t="inlineStr">
        <is>
          <t>Shop</t>
        </is>
      </c>
      <c r="D3" s="13" t="inlineStr">
        <is>
          <t>Core</t>
        </is>
      </c>
      <c r="E3" s="13" t="inlineStr">
        <is>
          <t>Sales order</t>
        </is>
      </c>
      <c r="F3" s="13" t="inlineStr">
        <is>
          <t>API</t>
        </is>
      </c>
      <c r="G3" s="13" t="inlineStr">
        <is>
          <t>Inbound</t>
        </is>
      </c>
      <c r="H3" s="13" t="inlineStr">
        <is>
          <t>Released</t>
        </is>
      </c>
      <c r="I3" s="13" t="inlineStr">
        <is>
          <t>Async</t>
        </is>
      </c>
      <c r="J3" s="13" t="inlineStr">
        <is>
          <t>Yes</t>
        </is>
      </c>
      <c r="K3" s="13" t="inlineStr">
        <is>
          <t>Yes</t>
        </is>
      </c>
      <c r="L3" s="13" t="inlineStr">
        <is>
          <t>Integration team</t>
        </is>
      </c>
      <c r="M3" s="13" t="n"/>
      <c r="N3" s="13">
        <f>IF(M3="","",M3-Settings!$B$2)</f>
        <v/>
      </c>
      <c r="O3" s="13" t="inlineStr">
        <is>
          <t>Idempotency key is the shop order reference</t>
        </is>
      </c>
    </row>
    <row r="4">
      <c r="A4" s="13" t="inlineStr">
        <is>
          <t>INT-003</t>
        </is>
      </c>
      <c r="B4" s="13" t="inlineStr">
        <is>
          <t>Stock levels to planning tool</t>
        </is>
      </c>
      <c r="C4" s="13" t="inlineStr">
        <is>
          <t>Core</t>
        </is>
      </c>
      <c r="D4" s="13" t="inlineStr">
        <is>
          <t>Planning</t>
        </is>
      </c>
      <c r="E4" s="13" t="inlineStr">
        <is>
          <t>Stock</t>
        </is>
      </c>
      <c r="F4" s="13" t="inlineStr">
        <is>
          <t>Event</t>
        </is>
      </c>
      <c r="G4" s="13" t="inlineStr">
        <is>
          <t>Outbound</t>
        </is>
      </c>
      <c r="H4" s="13" t="inlineStr">
        <is>
          <t>Released</t>
        </is>
      </c>
      <c r="I4" s="13" t="inlineStr">
        <is>
          <t>Async</t>
        </is>
      </c>
      <c r="J4" s="13" t="inlineStr">
        <is>
          <t>Yes</t>
        </is>
      </c>
      <c r="K4" s="13" t="inlineStr">
        <is>
          <t>Yes</t>
        </is>
      </c>
      <c r="L4" s="13" t="inlineStr">
        <is>
          <t>Supply chain IT</t>
        </is>
      </c>
      <c r="M4" s="13" t="n"/>
      <c r="N4" s="13">
        <f>IF(M4="","",M4-Settings!$B$2)</f>
        <v/>
      </c>
      <c r="O4" s="13" t="inlineStr"/>
    </row>
    <row r="5">
      <c r="A5" s="13" t="inlineStr">
        <is>
          <t>INT-004</t>
        </is>
      </c>
      <c r="B5" s="13" t="inlineStr">
        <is>
          <t>Legacy pricing feed</t>
        </is>
      </c>
      <c r="C5" s="13" t="inlineStr">
        <is>
          <t>Core</t>
        </is>
      </c>
      <c r="D5" s="13" t="inlineStr">
        <is>
          <t>Pricing legacy</t>
        </is>
      </c>
      <c r="E5" s="13" t="inlineStr">
        <is>
          <t>Price</t>
        </is>
      </c>
      <c r="F5" s="13" t="inlineStr">
        <is>
          <t>File</t>
        </is>
      </c>
      <c r="G5" s="13" t="inlineStr">
        <is>
          <t>Outbound</t>
        </is>
      </c>
      <c r="H5" s="13" t="inlineStr">
        <is>
          <t>Bridge - expiry set</t>
        </is>
      </c>
      <c r="I5" s="13" t="inlineStr">
        <is>
          <t>Async</t>
        </is>
      </c>
      <c r="J5" s="13" t="inlineStr">
        <is>
          <t>No</t>
        </is>
      </c>
      <c r="K5" s="13" t="inlineStr">
        <is>
          <t>No</t>
        </is>
      </c>
      <c r="L5" s="13" t="inlineStr">
        <is>
          <t>Pricing architect</t>
        </is>
      </c>
      <c r="M5" s="14" t="n">
        <v>46295</v>
      </c>
      <c r="N5" s="13">
        <f>IF(M5="","",M5-Settings!$B$2)</f>
        <v/>
      </c>
      <c r="O5" s="13" t="inlineStr">
        <is>
          <t>No schema when inherited; schema added, dead-letter added, owner named</t>
        </is>
      </c>
    </row>
    <row r="6">
      <c r="A6" s="13" t="inlineStr">
        <is>
          <t>INT-005</t>
        </is>
      </c>
      <c r="B6" s="13" t="inlineStr">
        <is>
          <t>Local supplier register lookup</t>
        </is>
      </c>
      <c r="C6" s="13" t="inlineStr">
        <is>
          <t>Side-by-side</t>
        </is>
      </c>
      <c r="D6" s="13" t="inlineStr">
        <is>
          <t>Core</t>
        </is>
      </c>
      <c r="E6" s="13" t="inlineStr">
        <is>
          <t>Supplier</t>
        </is>
      </c>
      <c r="F6" s="13" t="inlineStr">
        <is>
          <t>API</t>
        </is>
      </c>
      <c r="G6" s="13" t="inlineStr">
        <is>
          <t>Both</t>
        </is>
      </c>
      <c r="H6" s="13" t="inlineStr">
        <is>
          <t>Released</t>
        </is>
      </c>
      <c r="I6" s="13" t="inlineStr">
        <is>
          <t>Sync</t>
        </is>
      </c>
      <c r="J6" s="13" t="inlineStr">
        <is>
          <t>Yes</t>
        </is>
      </c>
      <c r="K6" s="13" t="inlineStr">
        <is>
          <t>No</t>
        </is>
      </c>
      <c r="L6" s="13" t="inlineStr">
        <is>
          <t>Integration team</t>
        </is>
      </c>
      <c r="M6" s="13" t="n"/>
      <c r="N6" s="13">
        <f>IF(M6="","",M6-Settings!$B$2)</f>
        <v/>
      </c>
      <c r="O6" s="13" t="inlineStr">
        <is>
          <t>User is waiting, so synchronous is justified</t>
        </is>
      </c>
    </row>
    <row r="7">
      <c r="A7" s="13" t="inlineStr">
        <is>
          <t>INT-006</t>
        </is>
      </c>
      <c r="B7" s="13" t="inlineStr">
        <is>
          <t>Warehouse confirmations</t>
        </is>
      </c>
      <c r="C7" s="13" t="inlineStr">
        <is>
          <t>WMS</t>
        </is>
      </c>
      <c r="D7" s="13" t="inlineStr">
        <is>
          <t>Core</t>
        </is>
      </c>
      <c r="E7" s="13" t="inlineStr">
        <is>
          <t>Goods movement</t>
        </is>
      </c>
      <c r="F7" s="13" t="inlineStr">
        <is>
          <t>API</t>
        </is>
      </c>
      <c r="G7" s="13" t="inlineStr">
        <is>
          <t>Inbound</t>
        </is>
      </c>
      <c r="H7" s="13" t="inlineStr">
        <is>
          <t>Released</t>
        </is>
      </c>
      <c r="I7" s="13" t="inlineStr">
        <is>
          <t>Async</t>
        </is>
      </c>
      <c r="J7" s="13" t="inlineStr">
        <is>
          <t>Yes</t>
        </is>
      </c>
      <c r="K7" s="13" t="inlineStr">
        <is>
          <t>Yes</t>
        </is>
      </c>
      <c r="L7" s="13" t="inlineStr">
        <is>
          <t>Logistics IT</t>
        </is>
      </c>
      <c r="M7" s="13" t="n"/>
      <c r="N7" s="13">
        <f>IF(M7="","",M7-Settings!$B$2)</f>
        <v/>
      </c>
      <c r="O7" s="13" t="inlineStr"/>
    </row>
    <row r="8">
      <c r="A8" s="13" t="inlineStr">
        <is>
          <t>INT-007</t>
        </is>
      </c>
      <c r="B8" s="13" t="inlineStr">
        <is>
          <t>HR org data</t>
        </is>
      </c>
      <c r="C8" s="13" t="inlineStr">
        <is>
          <t>HR system</t>
        </is>
      </c>
      <c r="D8" s="13" t="inlineStr">
        <is>
          <t>Core</t>
        </is>
      </c>
      <c r="E8" s="13" t="inlineStr">
        <is>
          <t>Employee</t>
        </is>
      </c>
      <c r="F8" s="13" t="inlineStr">
        <is>
          <t>Event</t>
        </is>
      </c>
      <c r="G8" s="13" t="inlineStr">
        <is>
          <t>Inbound</t>
        </is>
      </c>
      <c r="H8" s="13" t="inlineStr">
        <is>
          <t>Released</t>
        </is>
      </c>
      <c r="I8" s="13" t="inlineStr">
        <is>
          <t>Async</t>
        </is>
      </c>
      <c r="J8" s="13" t="inlineStr">
        <is>
          <t>Yes</t>
        </is>
      </c>
      <c r="K8" s="13" t="inlineStr">
        <is>
          <t>Yes</t>
        </is>
      </c>
      <c r="L8" s="13" t="inlineStr">
        <is>
          <t>HR IT</t>
        </is>
      </c>
      <c r="M8" s="13" t="n"/>
      <c r="N8" s="13">
        <f>IF(M8="","",M8-Settings!$B$2)</f>
        <v/>
      </c>
      <c r="O8" s="13" t="inlineStr"/>
    </row>
    <row r="9">
      <c r="A9" s="13" t="inlineStr">
        <is>
          <t>INT-008</t>
        </is>
      </c>
      <c r="B9" s="13" t="inlineStr">
        <is>
          <t>Reporting extract</t>
        </is>
      </c>
      <c r="C9" s="13" t="inlineStr">
        <is>
          <t>Core</t>
        </is>
      </c>
      <c r="D9" s="13" t="inlineStr">
        <is>
          <t>Data platform</t>
        </is>
      </c>
      <c r="E9" s="13" t="inlineStr">
        <is>
          <t>Multiple</t>
        </is>
      </c>
      <c r="F9" s="13" t="inlineStr">
        <is>
          <t>API</t>
        </is>
      </c>
      <c r="G9" s="13" t="inlineStr">
        <is>
          <t>Outbound</t>
        </is>
      </c>
      <c r="H9" s="13" t="inlineStr">
        <is>
          <t>Released</t>
        </is>
      </c>
      <c r="I9" s="13" t="inlineStr">
        <is>
          <t>Async</t>
        </is>
      </c>
      <c r="J9" s="13" t="inlineStr">
        <is>
          <t>Yes</t>
        </is>
      </c>
      <c r="K9" s="13" t="inlineStr">
        <is>
          <t>Yes</t>
        </is>
      </c>
      <c r="L9" s="13" t="inlineStr">
        <is>
          <t>Data platform</t>
        </is>
      </c>
      <c r="M9" s="13" t="n"/>
      <c r="N9" s="13">
        <f>IF(M9="","",M9-Settings!$B$2)</f>
        <v/>
      </c>
      <c r="O9" s="13" t="inlineStr">
        <is>
          <t>Replaced a direct database read in Q1</t>
        </is>
      </c>
    </row>
    <row r="10">
      <c r="A10" s="13" t="inlineStr">
        <is>
          <t>INT-009</t>
        </is>
      </c>
      <c r="B10" s="13" t="inlineStr">
        <is>
          <t>Market C statutory export</t>
        </is>
      </c>
      <c r="C10" s="13" t="inlineStr">
        <is>
          <t>Core</t>
        </is>
      </c>
      <c r="D10" s="13" t="inlineStr">
        <is>
          <t>Tax filing</t>
        </is>
      </c>
      <c r="E10" s="13" t="inlineStr">
        <is>
          <t>Journal</t>
        </is>
      </c>
      <c r="F10" s="13" t="inlineStr">
        <is>
          <t>File</t>
        </is>
      </c>
      <c r="G10" s="13" t="inlineStr">
        <is>
          <t>Outbound</t>
        </is>
      </c>
      <c r="H10" s="13" t="inlineStr">
        <is>
          <t>Released</t>
        </is>
      </c>
      <c r="I10" s="13" t="inlineStr">
        <is>
          <t>Async</t>
        </is>
      </c>
      <c r="J10" s="13" t="inlineStr">
        <is>
          <t>Yes</t>
        </is>
      </c>
      <c r="K10" s="13" t="inlineStr">
        <is>
          <t>Yes</t>
        </is>
      </c>
      <c r="L10" s="13" t="inlineStr">
        <is>
          <t>Localization lead</t>
        </is>
      </c>
      <c r="M10" s="13" t="n"/>
      <c r="N10" s="13">
        <f>IF(M10="","",M10-Settings!$B$2)</f>
        <v/>
      </c>
      <c r="O10" s="13" t="inlineStr">
        <is>
          <t>Built once in the localization layer, reused by two markets</t>
        </is>
      </c>
    </row>
    <row r="11">
      <c r="A11" s="13" t="inlineStr">
        <is>
          <t>INT-010</t>
        </is>
      </c>
      <c r="B11" s="13" t="inlineStr">
        <is>
          <t>Old finance interface</t>
        </is>
      </c>
      <c r="C11" s="13" t="inlineStr">
        <is>
          <t>Core</t>
        </is>
      </c>
      <c r="D11" s="13" t="inlineStr">
        <is>
          <t>Finance legacy</t>
        </is>
      </c>
      <c r="E11" s="13" t="inlineStr">
        <is>
          <t>Journal</t>
        </is>
      </c>
      <c r="F11" s="13" t="inlineStr">
        <is>
          <t>Direct DB</t>
        </is>
      </c>
      <c r="G11" s="13" t="inlineStr">
        <is>
          <t>Outbound</t>
        </is>
      </c>
      <c r="H11" s="13" t="inlineStr">
        <is>
          <t>Unreleased</t>
        </is>
      </c>
      <c r="I11" s="13" t="inlineStr">
        <is>
          <t>Sync</t>
        </is>
      </c>
      <c r="J11" s="13" t="inlineStr">
        <is>
          <t>No</t>
        </is>
      </c>
      <c r="K11" s="13" t="inlineStr">
        <is>
          <t>No</t>
        </is>
      </c>
      <c r="L11" s="13" t="inlineStr">
        <is>
          <t>Finance IT</t>
        </is>
      </c>
      <c r="M11" s="14" t="n">
        <v>46265</v>
      </c>
      <c r="N11" s="13">
        <f>IF(M11="","",M11-Settings!$B$2)</f>
        <v/>
      </c>
      <c r="O11" s="13" t="inlineStr">
        <is>
          <t>Being replaced by INT-008; counted as a forbidden pattern until it is off</t>
        </is>
      </c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3">
        <f>IF(M12="","",M12-Settings!$B$2)</f>
        <v/>
      </c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3">
        <f>IF(M13="","",M13-Settings!$B$2)</f>
        <v/>
      </c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3">
        <f>IF(M14="","",M14-Settings!$B$2)</f>
        <v/>
      </c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3">
        <f>IF(M15="","",M15-Settings!$B$2)</f>
        <v/>
      </c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3">
        <f>IF(M16="","",M16-Settings!$B$2)</f>
        <v/>
      </c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3">
        <f>IF(M17="","",M17-Settings!$B$2)</f>
        <v/>
      </c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3">
        <f>IF(M18="","",M18-Settings!$B$2)</f>
        <v/>
      </c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3">
        <f>IF(M19="","",M19-Settings!$B$2)</f>
        <v/>
      </c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3">
        <f>IF(M20="","",M20-Settings!$B$2)</f>
        <v/>
      </c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3">
        <f>IF(M21="","",M21-Settings!$B$2)</f>
        <v/>
      </c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3">
        <f>IF(M22="","",M22-Settings!$B$2)</f>
        <v/>
      </c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3">
        <f>IF(M23="","",M23-Settings!$B$2)</f>
        <v/>
      </c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3">
        <f>IF(M24="","",M24-Settings!$B$2)</f>
        <v/>
      </c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3">
        <f>IF(M25="","",M25-Settings!$B$2)</f>
        <v/>
      </c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3">
        <f>IF(M26="","",M26-Settings!$B$2)</f>
        <v/>
      </c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3">
        <f>IF(M27="","",M27-Settings!$B$2)</f>
        <v/>
      </c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3">
        <f>IF(M28="","",M28-Settings!$B$2)</f>
        <v/>
      </c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3">
        <f>IF(M29="","",M29-Settings!$B$2)</f>
        <v/>
      </c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3">
        <f>IF(M30="","",M30-Settings!$B$2)</f>
        <v/>
      </c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3">
        <f>IF(M31="","",M31-Settings!$B$2)</f>
        <v/>
      </c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3">
        <f>IF(M32="","",M32-Settings!$B$2)</f>
        <v/>
      </c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3">
        <f>IF(M33="","",M33-Settings!$B$2)</f>
        <v/>
      </c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3">
        <f>IF(M34="","",M34-Settings!$B$2)</f>
        <v/>
      </c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3">
        <f>IF(M35="","",M35-Settings!$B$2)</f>
        <v/>
      </c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3">
        <f>IF(M36="","",M36-Settings!$B$2)</f>
        <v/>
      </c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3">
        <f>IF(M37="","",M37-Settings!$B$2)</f>
        <v/>
      </c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3">
        <f>IF(M38="","",M38-Settings!$B$2)</f>
        <v/>
      </c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3">
        <f>IF(M39="","",M39-Settings!$B$2)</f>
        <v/>
      </c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3">
        <f>IF(M40="","",M40-Settings!$B$2)</f>
        <v/>
      </c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3">
        <f>IF(M41="","",M41-Settings!$B$2)</f>
        <v/>
      </c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3">
        <f>IF(M42="","",M42-Settings!$B$2)</f>
        <v/>
      </c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3">
        <f>IF(M43="","",M43-Settings!$B$2)</f>
        <v/>
      </c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3">
        <f>IF(M44="","",M44-Settings!$B$2)</f>
        <v/>
      </c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3">
        <f>IF(M45="","",M45-Settings!$B$2)</f>
        <v/>
      </c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3">
        <f>IF(M46="","",M46-Settings!$B$2)</f>
        <v/>
      </c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3">
        <f>IF(M47="","",M47-Settings!$B$2)</f>
        <v/>
      </c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3">
        <f>IF(M48="","",M48-Settings!$B$2)</f>
        <v/>
      </c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3">
        <f>IF(M49="","",M49-Settings!$B$2)</f>
        <v/>
      </c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3">
        <f>IF(M50="","",M50-Settings!$B$2)</f>
        <v/>
      </c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3">
        <f>IF(M51="","",M51-Settings!$B$2)</f>
        <v/>
      </c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3">
        <f>IF(M52="","",M52-Settings!$B$2)</f>
        <v/>
      </c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3">
        <f>IF(M53="","",M53-Settings!$B$2)</f>
        <v/>
      </c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3">
        <f>IF(M54="","",M54-Settings!$B$2)</f>
        <v/>
      </c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3">
        <f>IF(M55="","",M55-Settings!$B$2)</f>
        <v/>
      </c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3">
        <f>IF(M56="","",M56-Settings!$B$2)</f>
        <v/>
      </c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3">
        <f>IF(M57="","",M57-Settings!$B$2)</f>
        <v/>
      </c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3">
        <f>IF(M58="","",M58-Settings!$B$2)</f>
        <v/>
      </c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3">
        <f>IF(M59="","",M59-Settings!$B$2)</f>
        <v/>
      </c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3">
        <f>IF(M60="","",M60-Settings!$B$2)</f>
        <v/>
      </c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3">
        <f>IF(M61="","",M61-Settings!$B$2)</f>
        <v/>
      </c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3">
        <f>IF(M62="","",M62-Settings!$B$2)</f>
        <v/>
      </c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3">
        <f>IF(M63="","",M63-Settings!$B$2)</f>
        <v/>
      </c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3">
        <f>IF(M64="","",M64-Settings!$B$2)</f>
        <v/>
      </c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3">
        <f>IF(M65="","",M65-Settings!$B$2)</f>
        <v/>
      </c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3">
        <f>IF(M66="","",M66-Settings!$B$2)</f>
        <v/>
      </c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3">
        <f>IF(M67="","",M67-Settings!$B$2)</f>
        <v/>
      </c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3">
        <f>IF(M68="","",M68-Settings!$B$2)</f>
        <v/>
      </c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3">
        <f>IF(M69="","",M69-Settings!$B$2)</f>
        <v/>
      </c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3">
        <f>IF(M70="","",M70-Settings!$B$2)</f>
        <v/>
      </c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3">
        <f>IF(M71="","",M71-Settings!$B$2)</f>
        <v/>
      </c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3">
        <f>IF(M72="","",M72-Settings!$B$2)</f>
        <v/>
      </c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3">
        <f>IF(M73="","",M73-Settings!$B$2)</f>
        <v/>
      </c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3">
        <f>IF(M74="","",M74-Settings!$B$2)</f>
        <v/>
      </c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3">
        <f>IF(M75="","",M75-Settings!$B$2)</f>
        <v/>
      </c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3">
        <f>IF(M76="","",M76-Settings!$B$2)</f>
        <v/>
      </c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3">
        <f>IF(M77="","",M77-Settings!$B$2)</f>
        <v/>
      </c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3">
        <f>IF(M78="","",M78-Settings!$B$2)</f>
        <v/>
      </c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3">
        <f>IF(M79="","",M79-Settings!$B$2)</f>
        <v/>
      </c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3">
        <f>IF(M80="","",M80-Settings!$B$2)</f>
        <v/>
      </c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3">
        <f>IF(M81="","",M81-Settings!$B$2)</f>
        <v/>
      </c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3">
        <f>IF(M82="","",M82-Settings!$B$2)</f>
        <v/>
      </c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3">
        <f>IF(M83="","",M83-Settings!$B$2)</f>
        <v/>
      </c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3">
        <f>IF(M84="","",M84-Settings!$B$2)</f>
        <v/>
      </c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3">
        <f>IF(M85="","",M85-Settings!$B$2)</f>
        <v/>
      </c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3">
        <f>IF(M86="","",M86-Settings!$B$2)</f>
        <v/>
      </c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3">
        <f>IF(M87="","",M87-Settings!$B$2)</f>
        <v/>
      </c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3">
        <f>IF(M88="","",M88-Settings!$B$2)</f>
        <v/>
      </c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3">
        <f>IF(M89="","",M89-Settings!$B$2)</f>
        <v/>
      </c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3">
        <f>IF(M90="","",M90-Settings!$B$2)</f>
        <v/>
      </c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3">
        <f>IF(M91="","",M91-Settings!$B$2)</f>
        <v/>
      </c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3">
        <f>IF(M92="","",M92-Settings!$B$2)</f>
        <v/>
      </c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3">
        <f>IF(M93="","",M93-Settings!$B$2)</f>
        <v/>
      </c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3">
        <f>IF(M94="","",M94-Settings!$B$2)</f>
        <v/>
      </c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3">
        <f>IF(M95="","",M95-Settings!$B$2)</f>
        <v/>
      </c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3">
        <f>IF(M96="","",M96-Settings!$B$2)</f>
        <v/>
      </c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3">
        <f>IF(M97="","",M97-Settings!$B$2)</f>
        <v/>
      </c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3">
        <f>IF(M98="","",M98-Settings!$B$2)</f>
        <v/>
      </c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3">
        <f>IF(M99="","",M99-Settings!$B$2)</f>
        <v/>
      </c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3">
        <f>IF(M100="","",M100-Settings!$B$2)</f>
        <v/>
      </c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3">
        <f>IF(M101="","",M101-Settings!$B$2)</f>
        <v/>
      </c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3">
        <f>IF(M102="","",M102-Settings!$B$2)</f>
        <v/>
      </c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3">
        <f>IF(M103="","",M103-Settings!$B$2)</f>
        <v/>
      </c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3">
        <f>IF(M104="","",M104-Settings!$B$2)</f>
        <v/>
      </c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3">
        <f>IF(M105="","",M105-Settings!$B$2)</f>
        <v/>
      </c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3">
        <f>IF(M106="","",M106-Settings!$B$2)</f>
        <v/>
      </c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3">
        <f>IF(M107="","",M107-Settings!$B$2)</f>
        <v/>
      </c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3">
        <f>IF(M108="","",M108-Settings!$B$2)</f>
        <v/>
      </c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3">
        <f>IF(M109="","",M109-Settings!$B$2)</f>
        <v/>
      </c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3">
        <f>IF(M110="","",M110-Settings!$B$2)</f>
        <v/>
      </c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3">
        <f>IF(M111="","",M111-Settings!$B$2)</f>
        <v/>
      </c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3">
        <f>IF(M112="","",M112-Settings!$B$2)</f>
        <v/>
      </c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3">
        <f>IF(M113="","",M113-Settings!$B$2)</f>
        <v/>
      </c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3">
        <f>IF(M114="","",M114-Settings!$B$2)</f>
        <v/>
      </c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3">
        <f>IF(M115="","",M115-Settings!$B$2)</f>
        <v/>
      </c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3">
        <f>IF(M116="","",M116-Settings!$B$2)</f>
        <v/>
      </c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3">
        <f>IF(M117="","",M117-Settings!$B$2)</f>
        <v/>
      </c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3">
        <f>IF(M118="","",M118-Settings!$B$2)</f>
        <v/>
      </c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3">
        <f>IF(M119="","",M119-Settings!$B$2)</f>
        <v/>
      </c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3">
        <f>IF(M120="","",M120-Settings!$B$2)</f>
        <v/>
      </c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3">
        <f>IF(M121="","",M121-Settings!$B$2)</f>
        <v/>
      </c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3">
        <f>IF(M122="","",M122-Settings!$B$2)</f>
        <v/>
      </c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3">
        <f>IF(M123="","",M123-Settings!$B$2)</f>
        <v/>
      </c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3">
        <f>IF(M124="","",M124-Settings!$B$2)</f>
        <v/>
      </c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3">
        <f>IF(M125="","",M125-Settings!$B$2)</f>
        <v/>
      </c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3">
        <f>IF(M126="","",M126-Settings!$B$2)</f>
        <v/>
      </c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3">
        <f>IF(M127="","",M127-Settings!$B$2)</f>
        <v/>
      </c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3">
        <f>IF(M128="","",M128-Settings!$B$2)</f>
        <v/>
      </c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3">
        <f>IF(M129="","",M129-Settings!$B$2)</f>
        <v/>
      </c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3">
        <f>IF(M130="","",M130-Settings!$B$2)</f>
        <v/>
      </c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3">
        <f>IF(M131="","",M131-Settings!$B$2)</f>
        <v/>
      </c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3">
        <f>IF(M132="","",M132-Settings!$B$2)</f>
        <v/>
      </c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3">
        <f>IF(M133="","",M133-Settings!$B$2)</f>
        <v/>
      </c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3">
        <f>IF(M134="","",M134-Settings!$B$2)</f>
        <v/>
      </c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3">
        <f>IF(M135="","",M135-Settings!$B$2)</f>
        <v/>
      </c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3">
        <f>IF(M136="","",M136-Settings!$B$2)</f>
        <v/>
      </c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3">
        <f>IF(M137="","",M137-Settings!$B$2)</f>
        <v/>
      </c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3">
        <f>IF(M138="","",M138-Settings!$B$2)</f>
        <v/>
      </c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3">
        <f>IF(M139="","",M139-Settings!$B$2)</f>
        <v/>
      </c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3">
        <f>IF(M140="","",M140-Settings!$B$2)</f>
        <v/>
      </c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3">
        <f>IF(M141="","",M141-Settings!$B$2)</f>
        <v/>
      </c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3">
        <f>IF(M142="","",M142-Settings!$B$2)</f>
        <v/>
      </c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3">
        <f>IF(M143="","",M143-Settings!$B$2)</f>
        <v/>
      </c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3">
        <f>IF(M144="","",M144-Settings!$B$2)</f>
        <v/>
      </c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3">
        <f>IF(M145="","",M145-Settings!$B$2)</f>
        <v/>
      </c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3">
        <f>IF(M146="","",M146-Settings!$B$2)</f>
        <v/>
      </c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3">
        <f>IF(M147="","",M147-Settings!$B$2)</f>
        <v/>
      </c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3">
        <f>IF(M148="","",M148-Settings!$B$2)</f>
        <v/>
      </c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3">
        <f>IF(M149="","",M149-Settings!$B$2)</f>
        <v/>
      </c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3">
        <f>IF(M150="","",M150-Settings!$B$2)</f>
        <v/>
      </c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3">
        <f>IF(M151="","",M151-Settings!$B$2)</f>
        <v/>
      </c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3">
        <f>IF(M152="","",M152-Settings!$B$2)</f>
        <v/>
      </c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3">
        <f>IF(M153="","",M153-Settings!$B$2)</f>
        <v/>
      </c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3">
        <f>IF(M154="","",M154-Settings!$B$2)</f>
        <v/>
      </c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3">
        <f>IF(M155="","",M155-Settings!$B$2)</f>
        <v/>
      </c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3">
        <f>IF(M156="","",M156-Settings!$B$2)</f>
        <v/>
      </c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3">
        <f>IF(M157="","",M157-Settings!$B$2)</f>
        <v/>
      </c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3">
        <f>IF(M158="","",M158-Settings!$B$2)</f>
        <v/>
      </c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3">
        <f>IF(M159="","",M159-Settings!$B$2)</f>
        <v/>
      </c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3">
        <f>IF(M160="","",M160-Settings!$B$2)</f>
        <v/>
      </c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3">
        <f>IF(M161="","",M161-Settings!$B$2)</f>
        <v/>
      </c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3">
        <f>IF(M162="","",M162-Settings!$B$2)</f>
        <v/>
      </c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3">
        <f>IF(M163="","",M163-Settings!$B$2)</f>
        <v/>
      </c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3">
        <f>IF(M164="","",M164-Settings!$B$2)</f>
        <v/>
      </c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3">
        <f>IF(M165="","",M165-Settings!$B$2)</f>
        <v/>
      </c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3">
        <f>IF(M166="","",M166-Settings!$B$2)</f>
        <v/>
      </c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3">
        <f>IF(M167="","",M167-Settings!$B$2)</f>
        <v/>
      </c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3">
        <f>IF(M168="","",M168-Settings!$B$2)</f>
        <v/>
      </c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3">
        <f>IF(M169="","",M169-Settings!$B$2)</f>
        <v/>
      </c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3">
        <f>IF(M170="","",M170-Settings!$B$2)</f>
        <v/>
      </c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3">
        <f>IF(M171="","",M171-Settings!$B$2)</f>
        <v/>
      </c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3">
        <f>IF(M172="","",M172-Settings!$B$2)</f>
        <v/>
      </c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3">
        <f>IF(M173="","",M173-Settings!$B$2)</f>
        <v/>
      </c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3">
        <f>IF(M174="","",M174-Settings!$B$2)</f>
        <v/>
      </c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3">
        <f>IF(M175="","",M175-Settings!$B$2)</f>
        <v/>
      </c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3">
        <f>IF(M176="","",M176-Settings!$B$2)</f>
        <v/>
      </c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3">
        <f>IF(M177="","",M177-Settings!$B$2)</f>
        <v/>
      </c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3">
        <f>IF(M178="","",M178-Settings!$B$2)</f>
        <v/>
      </c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3">
        <f>IF(M179="","",M179-Settings!$B$2)</f>
        <v/>
      </c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3">
        <f>IF(M180="","",M180-Settings!$B$2)</f>
        <v/>
      </c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3">
        <f>IF(M181="","",M181-Settings!$B$2)</f>
        <v/>
      </c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3">
        <f>IF(M182="","",M182-Settings!$B$2)</f>
        <v/>
      </c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3">
        <f>IF(M183="","",M183-Settings!$B$2)</f>
        <v/>
      </c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3">
        <f>IF(M184="","",M184-Settings!$B$2)</f>
        <v/>
      </c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3">
        <f>IF(M185="","",M185-Settings!$B$2)</f>
        <v/>
      </c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3">
        <f>IF(M186="","",M186-Settings!$B$2)</f>
        <v/>
      </c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3">
        <f>IF(M187="","",M187-Settings!$B$2)</f>
        <v/>
      </c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3">
        <f>IF(M188="","",M188-Settings!$B$2)</f>
        <v/>
      </c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3">
        <f>IF(M189="","",M189-Settings!$B$2)</f>
        <v/>
      </c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3">
        <f>IF(M190="","",M190-Settings!$B$2)</f>
        <v/>
      </c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3">
        <f>IF(M191="","",M191-Settings!$B$2)</f>
        <v/>
      </c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3">
        <f>IF(M192="","",M192-Settings!$B$2)</f>
        <v/>
      </c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3">
        <f>IF(M193="","",M193-Settings!$B$2)</f>
        <v/>
      </c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3">
        <f>IF(M194="","",M194-Settings!$B$2)</f>
        <v/>
      </c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3">
        <f>IF(M195="","",M195-Settings!$B$2)</f>
        <v/>
      </c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3">
        <f>IF(M196="","",M196-Settings!$B$2)</f>
        <v/>
      </c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3">
        <f>IF(M197="","",M197-Settings!$B$2)</f>
        <v/>
      </c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3">
        <f>IF(M198="","",M198-Settings!$B$2)</f>
        <v/>
      </c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3">
        <f>IF(M199="","",M199-Settings!$B$2)</f>
        <v/>
      </c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3">
        <f>IF(M200="","",M200-Settings!$B$2)</f>
        <v/>
      </c>
      <c r="O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3">
        <f>IF(M201="","",M201-Settings!$B$2)</f>
        <v/>
      </c>
      <c r="O201" s="17" t="n"/>
    </row>
  </sheetData>
  <autoFilter ref="A1:O201"/>
  <conditionalFormatting sqref="N2:N201">
    <cfRule type="cellIs" priority="1" operator="lessThan" dxfId="0">
      <formula>0</formula>
    </cfRule>
  </conditionalFormatting>
  <dataValidations count="3">
    <dataValidation sqref="F2:F251" showDropDown="0" showInputMessage="0" showErrorMessage="0" allowBlank="1" type="list">
      <formula1>=Lists!$D$1:$D$5</formula1>
    </dataValidation>
    <dataValidation sqref="G2:G251" showDropDown="0" showInputMessage="0" showErrorMessage="0" allowBlank="1" type="list">
      <formula1>=Lists!$E$1:$E$3</formula1>
    </dataValidation>
    <dataValidation sqref="H2:H251" showDropDown="0" showInputMessage="0" showErrorMessage="0" allowBlank="1" type="list">
      <formula1>=Lists!$F$1:$F$3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8" customWidth="1" min="4" max="4"/>
    <col width="18" customWidth="1" min="5" max="5"/>
    <col width="18" customWidth="1" min="6" max="6"/>
    <col width="12" customWidth="1" min="7" max="7"/>
    <col width="40" customWidth="1" min="8" max="8"/>
  </cols>
  <sheetData>
    <row r="1">
      <c r="A1" s="12" t="inlineStr">
        <is>
          <t>Object</t>
        </is>
      </c>
      <c r="B1" s="12" t="inlineStr">
        <is>
          <t>Master system</t>
        </is>
      </c>
      <c r="C1" s="12" t="inlineStr">
        <is>
          <t>Consumers</t>
        </is>
      </c>
      <c r="D1" s="12" t="inlineStr">
        <is>
          <t>Contract out</t>
        </is>
      </c>
      <c r="E1" s="12" t="inlineStr">
        <is>
          <t>Contract in</t>
        </is>
      </c>
      <c r="F1" s="12" t="inlineStr">
        <is>
          <t>Owner</t>
        </is>
      </c>
      <c r="G1" s="12" t="inlineStr">
        <is>
          <t>Contested?</t>
        </is>
      </c>
      <c r="H1" s="12" t="inlineStr">
        <is>
          <t>Note</t>
        </is>
      </c>
    </row>
    <row r="2">
      <c r="A2" s="13" t="inlineStr">
        <is>
          <t>Supplier</t>
        </is>
      </c>
      <c r="B2" s="13" t="inlineStr">
        <is>
          <t>Core</t>
        </is>
      </c>
      <c r="C2" s="13" t="inlineStr">
        <is>
          <t>Portal B, side-by-side register, data platform</t>
        </is>
      </c>
      <c r="D2" s="13" t="inlineStr">
        <is>
          <t>Event</t>
        </is>
      </c>
      <c r="E2" s="13" t="inlineStr">
        <is>
          <t>API</t>
        </is>
      </c>
      <c r="F2" s="13" t="inlineStr">
        <is>
          <t>Procurement IT</t>
        </is>
      </c>
      <c r="G2" s="13" t="inlineStr">
        <is>
          <t>No</t>
        </is>
      </c>
      <c r="H2" s="13" t="inlineStr">
        <is>
          <t>Settled Q3 last year after two systems both updating bank details</t>
        </is>
      </c>
    </row>
    <row r="3">
      <c r="A3" s="13" t="inlineStr">
        <is>
          <t>Customer</t>
        </is>
      </c>
      <c r="B3" s="13" t="inlineStr">
        <is>
          <t>CRM</t>
        </is>
      </c>
      <c r="C3" s="13" t="inlineStr">
        <is>
          <t>Core, web shop, data platform</t>
        </is>
      </c>
      <c r="D3" s="13" t="inlineStr">
        <is>
          <t>Event</t>
        </is>
      </c>
      <c r="E3" s="13" t="inlineStr">
        <is>
          <t>API</t>
        </is>
      </c>
      <c r="F3" s="13" t="inlineStr">
        <is>
          <t>Sales IT</t>
        </is>
      </c>
      <c r="G3" s="13" t="inlineStr">
        <is>
          <t>No</t>
        </is>
      </c>
      <c r="H3" s="13" t="inlineStr"/>
    </row>
    <row r="4">
      <c r="A4" s="13" t="inlineStr">
        <is>
          <t>Material</t>
        </is>
      </c>
      <c r="B4" s="13" t="inlineStr">
        <is>
          <t>Core</t>
        </is>
      </c>
      <c r="C4" s="13" t="inlineStr">
        <is>
          <t>WMS, planning, shop</t>
        </is>
      </c>
      <c r="D4" s="13" t="inlineStr">
        <is>
          <t>Event</t>
        </is>
      </c>
      <c r="E4" s="13" t="inlineStr">
        <is>
          <t>API</t>
        </is>
      </c>
      <c r="F4" s="13" t="inlineStr">
        <is>
          <t>Supply chain IT</t>
        </is>
      </c>
      <c r="G4" s="13" t="inlineStr">
        <is>
          <t>No</t>
        </is>
      </c>
      <c r="H4" s="13" t="inlineStr"/>
    </row>
    <row r="5">
      <c r="A5" s="13" t="inlineStr">
        <is>
          <t>Price</t>
        </is>
      </c>
      <c r="B5" s="13" t="inlineStr">
        <is>
          <t>Core</t>
        </is>
      </c>
      <c r="C5" s="13" t="inlineStr">
        <is>
          <t>Shop, portal</t>
        </is>
      </c>
      <c r="D5" s="13" t="inlineStr">
        <is>
          <t>API</t>
        </is>
      </c>
      <c r="E5" s="13" t="inlineStr">
        <is>
          <t>-</t>
        </is>
      </c>
      <c r="F5" s="13" t="inlineStr">
        <is>
          <t>Pricing architect</t>
        </is>
      </c>
      <c r="G5" s="13" t="inlineStr">
        <is>
          <t>Yes</t>
        </is>
      </c>
      <c r="H5" s="13" t="inlineStr">
        <is>
          <t>Side-by-side pricing service will take mastership in Q4 - decision recorded</t>
        </is>
      </c>
    </row>
    <row r="6">
      <c r="A6" s="13" t="inlineStr">
        <is>
          <t>Employee</t>
        </is>
      </c>
      <c r="B6" s="13" t="inlineStr">
        <is>
          <t>HR system</t>
        </is>
      </c>
      <c r="C6" s="13" t="inlineStr">
        <is>
          <t>Core, access management</t>
        </is>
      </c>
      <c r="D6" s="13" t="inlineStr">
        <is>
          <t>Event</t>
        </is>
      </c>
      <c r="E6" s="13" t="inlineStr">
        <is>
          <t>-</t>
        </is>
      </c>
      <c r="F6" s="13" t="inlineStr">
        <is>
          <t>HR IT</t>
        </is>
      </c>
      <c r="G6" s="13" t="inlineStr">
        <is>
          <t>No</t>
        </is>
      </c>
      <c r="H6" s="13" t="inlineStr"/>
    </row>
    <row r="7">
      <c r="A7" s="13" t="inlineStr">
        <is>
          <t>Sales order</t>
        </is>
      </c>
      <c r="B7" s="13" t="inlineStr">
        <is>
          <t>Core</t>
        </is>
      </c>
      <c r="C7" s="13" t="inlineStr">
        <is>
          <t>Data platform, WMS</t>
        </is>
      </c>
      <c r="D7" s="13" t="inlineStr">
        <is>
          <t>Event</t>
        </is>
      </c>
      <c r="E7" s="13" t="inlineStr">
        <is>
          <t>API</t>
        </is>
      </c>
      <c r="F7" s="13" t="inlineStr">
        <is>
          <t>Order management</t>
        </is>
      </c>
      <c r="G7" s="13" t="inlineStr">
        <is>
          <t>No</t>
        </is>
      </c>
      <c r="H7" s="13" t="inlineStr"/>
    </row>
    <row r="8">
      <c r="A8" s="13" t="inlineStr">
        <is>
          <t>Stock</t>
        </is>
      </c>
      <c r="B8" s="13" t="inlineStr">
        <is>
          <t>Core</t>
        </is>
      </c>
      <c r="C8" s="13" t="inlineStr">
        <is>
          <t>Planning, shop</t>
        </is>
      </c>
      <c r="D8" s="13" t="inlineStr">
        <is>
          <t>Event</t>
        </is>
      </c>
      <c r="E8" s="13" t="inlineStr">
        <is>
          <t>-</t>
        </is>
      </c>
      <c r="F8" s="13" t="inlineStr">
        <is>
          <t>Supply chain IT</t>
        </is>
      </c>
      <c r="G8" s="13" t="inlineStr">
        <is>
          <t>No</t>
        </is>
      </c>
      <c r="H8" s="13" t="inlineStr"/>
    </row>
    <row r="9">
      <c r="A9" s="13" t="inlineStr">
        <is>
          <t>Journal</t>
        </is>
      </c>
      <c r="B9" s="13" t="inlineStr">
        <is>
          <t>Core</t>
        </is>
      </c>
      <c r="C9" s="13" t="inlineStr">
        <is>
          <t>Tax filing, data platform</t>
        </is>
      </c>
      <c r="D9" s="13" t="inlineStr">
        <is>
          <t>File, API</t>
        </is>
      </c>
      <c r="E9" s="13" t="inlineStr">
        <is>
          <t>-</t>
        </is>
      </c>
      <c r="F9" s="13" t="inlineStr">
        <is>
          <t>Finance IT</t>
        </is>
      </c>
      <c r="G9" s="13" t="inlineStr">
        <is>
          <t>No</t>
        </is>
      </c>
      <c r="H9" s="13" t="inlineStr">
        <is>
          <t>Legacy direct read being retired - see INT-010</t>
        </is>
      </c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62" customWidth="1" min="4" max="4"/>
  </cols>
  <sheetData>
    <row r="1">
      <c r="A1" s="21" t="inlineStr">
        <is>
          <t>Buy-out candidates</t>
        </is>
      </c>
    </row>
    <row r="2">
      <c r="A2" s="8" t="inlineStr">
        <is>
          <t>Paste a distinct need into column A. The count is computed across the Extensions sheet; anything at or above the threshold on Settings is a candidate.</t>
        </is>
      </c>
    </row>
    <row r="4">
      <c r="A4" s="12" t="inlineStr">
        <is>
          <t>Need (as written in Extensions)</t>
        </is>
      </c>
      <c r="B4" s="12" t="inlineStr">
        <is>
          <t>Markets</t>
        </is>
      </c>
      <c r="C4" s="12" t="inlineStr">
        <is>
          <t>Candidate?</t>
        </is>
      </c>
      <c r="D4" s="12" t="inlineStr">
        <is>
          <t>What central does about it</t>
        </is>
      </c>
    </row>
    <row r="5">
      <c r="A5" s="17" t="inlineStr">
        <is>
          <t>Local supplier register check at goods receipt</t>
        </is>
      </c>
      <c r="B5" s="18">
        <f>IF($A5="","",SUMPRODUCT((Extensions!$E$2:$E$251=$A5)*(Extensions!$C$2:$C$251&lt;&gt;""))) </f>
        <v/>
      </c>
      <c r="C5" s="22">
        <f>IF($A5="","",IF(B5&gt;=Settings!$B$4,"YES","-"))</f>
        <v/>
      </c>
      <c r="D5" s="17" t="inlineStr">
        <is>
          <t>Build once side-by-side, fund centrally, retire the three local copies</t>
        </is>
      </c>
    </row>
    <row r="6">
      <c r="A6" s="17" t="inlineStr">
        <is>
          <t>Statutory e-invoice layout</t>
        </is>
      </c>
      <c r="B6" s="18">
        <f>IF($A6="","",SUMPRODUCT((Extensions!$E$2:$E$251=$A6)*(Extensions!$C$2:$C$251&lt;&gt;""))) </f>
        <v/>
      </c>
      <c r="C6" s="22">
        <f>IF($A6="","",IF(B6&gt;=Settings!$B$4,"YES","-"))</f>
        <v/>
      </c>
      <c r="D6" s="17" t="inlineStr">
        <is>
          <t>Already central - localization layer, built once per requirement</t>
        </is>
      </c>
    </row>
    <row r="7">
      <c r="A7" s="17" t="inlineStr">
        <is>
          <t>Screen field added for local contract reference</t>
        </is>
      </c>
      <c r="B7" s="18">
        <f>IF($A7="","",SUMPRODUCT((Extensions!$E$2:$E$251=$A7)*(Extensions!$C$2:$C$251&lt;&gt;""))) </f>
        <v/>
      </c>
      <c r="C7" s="22">
        <f>IF($A7="","",IF(B7&gt;=Settings!$B$4,"YES","-"))</f>
        <v/>
      </c>
      <c r="D7" s="17" t="inlineStr">
        <is>
          <t>Below threshold; revisit if a third market asks</t>
        </is>
      </c>
    </row>
    <row r="8">
      <c r="A8" s="17" t="inlineStr">
        <is>
          <t>Custom pricing condition in the core</t>
        </is>
      </c>
      <c r="B8" s="18">
        <f>IF($A8="","",SUMPRODUCT((Extensions!$E$2:$E$251=$A8)*(Extensions!$C$2:$C$251&lt;&gt;""))) </f>
        <v/>
      </c>
      <c r="C8" s="22">
        <f>IF($A8="","",IF(B8&gt;=Settings!$B$4,"YES","-"))</f>
        <v/>
      </c>
      <c r="D8" s="17" t="inlineStr">
        <is>
          <t>Replace with the side-by-side pricing service, then close the modification</t>
        </is>
      </c>
    </row>
    <row r="9">
      <c r="A9" s="17" t="inlineStr"/>
      <c r="B9" s="18">
        <f>IF($A9="","",SUMPRODUCT((Extensions!$E$2:$E$251=$A9)*(Extensions!$C$2:$C$251&lt;&gt;""))) </f>
        <v/>
      </c>
      <c r="C9" s="22">
        <f>IF($A9="","",IF(B9&gt;=Settings!$B$4,"YES","-"))</f>
        <v/>
      </c>
      <c r="D9" s="17" t="inlineStr"/>
    </row>
  </sheetData>
  <conditionalFormatting sqref="C5:C40">
    <cfRule type="cellIs" priority="1" operator="equal" dxfId="2">
      <formula>"YES"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6" customWidth="1" min="3" max="3"/>
  </cols>
  <sheetData>
    <row r="1">
      <c r="A1" s="23" t="inlineStr">
        <is>
          <t>The four numbers</t>
        </is>
      </c>
    </row>
    <row r="2">
      <c r="A2" s="8" t="inlineStr">
        <is>
          <t>Reported monthly, to named people, with the specific items rather than only the totals.</t>
        </is>
      </c>
    </row>
    <row r="4" ht="34" customHeight="1">
      <c r="A4" s="6" t="inlineStr">
        <is>
          <t>Core modifications, open</t>
        </is>
      </c>
      <c r="B4" s="24">
        <f>COUNTIFS(Extensions!$I$2:$I$251,"Core modification",Extensions!$J$2:$J$251,"&lt;&gt;Retired",Extensions!$J$2:$J$251,"&lt;&gt;Bought out",Extensions!$J$2:$J$251,"&lt;&gt;Rejected")</f>
        <v/>
      </c>
      <c r="C4" s="4" t="inlineStr">
        <is>
          <t>The temperature. Counted, with the trend, named in the register. Catches the quiet return of the old habit</t>
        </is>
      </c>
    </row>
    <row r="5" ht="34" customHeight="1">
      <c r="A5" s="6" t="inlineStr">
        <is>
          <t>Core modifications closed this year</t>
        </is>
      </c>
      <c r="B5" s="24">
        <f>COUNTIFS(Extensions!$I$2:$I$251,"Core modification",Extensions!$J$2:$J$251,"Retired")</f>
        <v/>
      </c>
      <c r="C5" s="4" t="inlineStr">
        <is>
          <t>Effort, made visible. Without it the first number only ever looks like an accusation</t>
        </is>
      </c>
    </row>
    <row r="6" ht="34" customHeight="1">
      <c r="A6" s="6" t="inlineStr">
        <is>
          <t>Interfaces on released contracts</t>
        </is>
      </c>
      <c r="B6" s="25">
        <f>IF(COUNTA(Interfaces!$A$2:$A$201)=0,"",COUNTIF(Interfaces!$H$2:$H$201,"Released")/COUNTA(Interfaces!$A$2:$A$201))</f>
        <v/>
      </c>
      <c r="C6" s="4" t="inlineStr">
        <is>
          <t>The plumbing. The rest are bridges, each with an expiry date. Catches direct database reads accumulating unseen</t>
        </is>
      </c>
    </row>
    <row r="7" ht="34" customHeight="1">
      <c r="A7" s="6" t="inlineStr">
        <is>
          <t>Interfaces on forbidden patterns</t>
        </is>
      </c>
      <c r="B7" s="24">
        <f>COUNTIF(Interfaces!$F$2:$F$201,"Direct DB")+COUNTIF(Interfaces!$H$2:$H$201,"Unreleased")</f>
        <v/>
      </c>
      <c r="C7" s="4" t="inlineStr">
        <is>
          <t>Direct DB and point-to-point with no contract. This number should be shrinking every quarter or the standard is not real</t>
        </is>
      </c>
    </row>
    <row r="8" ht="34" customHeight="1">
      <c r="A8" s="6" t="inlineStr">
        <is>
          <t>Open register items</t>
        </is>
      </c>
      <c r="B8" s="24">
        <f>COUNTIFS(Extensions!$A$2:$A$251,"&lt;&gt;",Extensions!$I$2:$I$251,"&lt;&gt;Configuration",Extensions!$J$2:$J$251,"&lt;&gt;Retired",Extensions!$J$2:$J$251,"&lt;&gt;Bought out",Extensions!$J$2:$J$251,"&lt;&gt;Rejected")</f>
        <v/>
      </c>
      <c r="C8" s="4" t="inlineStr">
        <is>
          <t>The leading indicator. A register that only grows is a triage that stopped working</t>
        </is>
      </c>
    </row>
    <row r="9" ht="34" customHeight="1">
      <c r="A9" s="6" t="inlineStr">
        <is>
          <t>Oldest open item (days)</t>
        </is>
      </c>
      <c r="B9" s="24">
        <f>SUMPRODUCT(MAX((Extensions!$A$2:$A$251&lt;&gt;"")*(Extensions!$I$2:$I$251&lt;&gt;"Configuration")*(Extensions!$J$2:$J$251&lt;&gt;"Retired")*(Extensions!$J$2:$J$251&lt;&gt;"Bought out")*(Extensions!$J$2:$J$251&lt;&gt;"Rejected")*Extensions!$Q$2:$Q$251))</f>
        <v/>
      </c>
      <c r="C9" s="4" t="inlineStr">
        <is>
          <t>The age is the story. A young register of forty items is healthier than an old one of twelve</t>
        </is>
      </c>
    </row>
    <row r="10" ht="34" customHeight="1">
      <c r="A10" s="6" t="inlineStr">
        <is>
          <t>Items expiring within the warning window</t>
        </is>
      </c>
      <c r="B10" s="24">
        <f>COUNTIFS(Extensions!$P$2:$P$251,"&lt;="&amp;Settings!$B$5,Extensions!$P$2:$P$251,"&gt;=-3650")</f>
        <v/>
      </c>
      <c r="C10" s="4" t="inlineStr">
        <is>
          <t>The quarterly review's agenda, computed</t>
        </is>
      </c>
    </row>
    <row r="11" ht="34" customHeight="1">
      <c r="A11" s="6" t="inlineStr">
        <is>
          <t>Upgrade lead time (days, rehearsed)</t>
        </is>
      </c>
      <c r="B11" s="26" t="n"/>
      <c r="C11" s="4" t="inlineStr">
        <is>
          <t>The only honest measure. A programme that has never rehearsed an upgrade does not know whether its core is clean - it knows whether its rules were followed, which is not the same thing</t>
        </is>
      </c>
    </row>
    <row r="14">
      <c r="A14" s="27" t="inlineStr">
        <is>
          <t>Rehearse the upgrade while the programme still has budget and attention. It is the measure that cannot be faked.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2" t="inlineStr">
        <is>
          <t>Month</t>
        </is>
      </c>
      <c r="B1" s="12" t="inlineStr">
        <is>
          <t>Core mods open</t>
        </is>
      </c>
      <c r="C1" s="12" t="inlineStr">
        <is>
          <t>Mods closed</t>
        </is>
      </c>
      <c r="D1" s="12" t="inlineStr">
        <is>
          <t>Released contract %</t>
        </is>
      </c>
      <c r="E1" s="12" t="inlineStr">
        <is>
          <t>Forbidden patterns</t>
        </is>
      </c>
      <c r="F1" s="12" t="inlineStr">
        <is>
          <t>Open register</t>
        </is>
      </c>
      <c r="G1" s="12" t="inlineStr">
        <is>
          <t>Oldest (days)</t>
        </is>
      </c>
      <c r="H1" s="12" t="inlineStr">
        <is>
          <t>Upgrade lead time</t>
        </is>
      </c>
    </row>
    <row r="2">
      <c r="A2" s="18" t="inlineStr">
        <is>
          <t>2025-09</t>
        </is>
      </c>
      <c r="B2" s="18" t="n">
        <v>21</v>
      </c>
      <c r="C2" s="18" t="n">
        <v>0</v>
      </c>
      <c r="D2" s="28" t="n">
        <v>0.62</v>
      </c>
      <c r="E2" s="18" t="n">
        <v>9</v>
      </c>
      <c r="F2" s="18" t="n">
        <v>18</v>
      </c>
      <c r="G2" s="18" t="n">
        <v>140</v>
      </c>
      <c r="H2" s="18" t="n"/>
    </row>
    <row r="3">
      <c r="A3" s="18" t="inlineStr">
        <is>
          <t>2025-12</t>
        </is>
      </c>
      <c r="B3" s="18" t="n">
        <v>18</v>
      </c>
      <c r="C3" s="18" t="n">
        <v>3</v>
      </c>
      <c r="D3" s="28" t="n">
        <v>0.71</v>
      </c>
      <c r="E3" s="18" t="n">
        <v>7</v>
      </c>
      <c r="F3" s="18" t="n">
        <v>24</v>
      </c>
      <c r="G3" s="18" t="n">
        <v>190</v>
      </c>
      <c r="H3" s="18" t="n">
        <v>42</v>
      </c>
    </row>
    <row r="4">
      <c r="A4" s="18" t="inlineStr">
        <is>
          <t>2026-03</t>
        </is>
      </c>
      <c r="B4" s="18" t="n">
        <v>15</v>
      </c>
      <c r="C4" s="18" t="n">
        <v>6</v>
      </c>
      <c r="D4" s="28" t="n">
        <v>0.79</v>
      </c>
      <c r="E4" s="18" t="n">
        <v>5</v>
      </c>
      <c r="F4" s="18" t="n">
        <v>29</v>
      </c>
      <c r="G4" s="18" t="n">
        <v>205</v>
      </c>
      <c r="H4" s="18" t="n">
        <v>21</v>
      </c>
    </row>
    <row r="5">
      <c r="A5" s="18" t="inlineStr">
        <is>
          <t>2026-06</t>
        </is>
      </c>
      <c r="B5" s="18" t="n">
        <v>12</v>
      </c>
      <c r="C5" s="18" t="n">
        <v>10</v>
      </c>
      <c r="D5" s="28" t="n">
        <v>0.84</v>
      </c>
      <c r="E5" s="18" t="n">
        <v>3</v>
      </c>
      <c r="F5" s="18" t="n">
        <v>31</v>
      </c>
      <c r="G5" s="18" t="n">
        <v>214</v>
      </c>
      <c r="H5" s="18" t="n">
        <v>9</v>
      </c>
    </row>
    <row r="6">
      <c r="A6" s="20" t="n"/>
      <c r="B6" s="20" t="n"/>
      <c r="C6" s="20" t="n"/>
      <c r="D6" s="29" t="n"/>
      <c r="E6" s="20" t="n"/>
      <c r="F6" s="20" t="n"/>
      <c r="G6" s="20" t="n"/>
      <c r="H6" s="20" t="n"/>
    </row>
    <row r="7">
      <c r="A7" s="20" t="n"/>
      <c r="B7" s="20" t="n"/>
      <c r="C7" s="20" t="n"/>
      <c r="D7" s="29" t="n"/>
      <c r="E7" s="20" t="n"/>
      <c r="F7" s="20" t="n"/>
      <c r="G7" s="20" t="n"/>
      <c r="H7" s="20" t="n"/>
    </row>
    <row r="8">
      <c r="A8" s="20" t="n"/>
      <c r="B8" s="20" t="n"/>
      <c r="C8" s="20" t="n"/>
      <c r="D8" s="29" t="n"/>
      <c r="E8" s="20" t="n"/>
      <c r="F8" s="20" t="n"/>
      <c r="G8" s="20" t="n"/>
      <c r="H8" s="20" t="n"/>
    </row>
    <row r="9">
      <c r="A9" s="20" t="n"/>
      <c r="B9" s="20" t="n"/>
      <c r="C9" s="20" t="n"/>
      <c r="D9" s="29" t="n"/>
      <c r="E9" s="20" t="n"/>
      <c r="F9" s="20" t="n"/>
      <c r="G9" s="20" t="n"/>
      <c r="H9" s="20" t="n"/>
    </row>
    <row r="10">
      <c r="A10" s="20" t="n"/>
      <c r="B10" s="20" t="n"/>
      <c r="C10" s="20" t="n"/>
      <c r="D10" s="29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9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9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9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9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9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9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9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9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9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9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9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9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9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9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9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9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9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9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9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9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9" t="n"/>
      <c r="E31" s="20" t="n"/>
      <c r="F31" s="20" t="n"/>
      <c r="G31" s="20" t="n"/>
      <c r="H31" s="20" t="n"/>
    </row>
    <row r="34">
      <c r="A34" s="8" t="inlineStr">
        <is>
          <t>Example figures. Replace them - the point is the shape over twelve months, not the level in any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2026-08-11T10:56:56Z</dcterms:created>
  <dcterms:modified xmlns:dcterms="http://purl.org/dc/terms/" xmlns:xsi="http://www.w3.org/2001/XMLSchema-instance" xsi:type="dcterms:W3CDTF">2026-08-11T10:56:56Z</dcterms:modified>
</cp:coreProperties>
</file>
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Decisions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Classifications" sheetId="6" state="visible" r:id="rId6"/>
    <sheet xmlns:r="http://schemas.openxmlformats.org/officeDocument/2006/relationships" name="Assessments" sheetId="7" state="visible" r:id="rId7"/>
    <sheet xmlns:r="http://schemas.openxmlformats.org/officeDocument/2006/relationships" name="Links" sheetId="8" state="visible" r:id="rId8"/>
    <sheet xmlns:r="http://schemas.openxmlformats.org/officeDocument/2006/relationships" name="Derived views" sheetId="9" state="visible" r:id="rId9"/>
  </sheets>
  <definedNames>
    <definedName name="_xlnm._FilterDatabase" localSheetId="3" hidden="1">'Decisions'!$A$1:$N$301</definedName>
    <definedName name="_xlnm._FilterDatabase" localSheetId="4" hidden="1">'Exceptions'!$A$1:$M$201</definedName>
    <definedName name="_xlnm._FilterDatabase" localSheetId="5" hidden="1">'Classifications'!$A$1:$K$301</definedName>
    <definedName name="_xlnm._FilterDatabase" localSheetId="6" hidden="1">'Assessments'!$A$1:$L$301</definedName>
    <definedName name="_xlnm._FilterDatabase" localSheetId="7" hidden="1">'Links'!$A$1:$G$400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;-0;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FF7D766E"/>
      <sz val="9"/>
    </font>
    <font>
      <name val="Arial"/>
      <b val="1"/>
      <color rgb="FFFFFFFF"/>
      <sz val="10"/>
    </font>
    <font>
      <name val="Arial"/>
      <b val="1"/>
      <color rgb="FF14606B"/>
      <sz val="18"/>
    </font>
    <font>
      <name val="Arial"/>
      <b val="1"/>
      <color rgb="FF14606B"/>
      <sz val="12"/>
    </font>
  </fonts>
  <fills count="4">
    <fill>
      <patternFill/>
    </fill>
    <fill>
      <patternFill patternType="gray125"/>
    </fill>
    <fill>
      <patternFill patternType="solid">
        <fgColor rgb="FF14606B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3" fillId="0" borderId="0" pivotButton="0" quotePrefix="0" xfId="0"/>
    <xf numFmtId="164" fontId="2" fillId="3" borderId="1" pivotButton="0" quotePrefix="0" xfId="0"/>
    <xf numFmtId="0" fontId="4" fillId="0" borderId="0" pivotButton="0" quotePrefix="0" xfId="0"/>
    <xf numFmtId="0" fontId="2" fillId="3" borderId="1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165" fontId="2" fillId="0" borderId="1" applyAlignment="1" pivotButton="0" quotePrefix="0" xfId="0">
      <alignment vertical="top" wrapText="1"/>
    </xf>
    <xf numFmtId="165" fontId="2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1" fillId="0" borderId="0" pivotButton="0" quotePrefix="0" xfId="0"/>
    <xf numFmtId="0" fontId="3" fillId="0" borderId="1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FFF2E4E0"/>
        </patternFill>
      </fill>
    </dxf>
    <dxf>
      <fill>
        <patternFill patternType="solid">
          <fgColor rgb="FFF5EC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Decision and register workbook</t>
        </is>
      </c>
    </row>
    <row r="2">
      <c r="A2" s="2" t="inlineStr">
        <is>
          <t>Four registers on one shared shape, plus the links that make records surface later and the derived views that tell you whether the practice is working.</t>
        </is>
      </c>
    </row>
    <row r="3">
      <c r="A3" s="2" t="inlineStr"/>
    </row>
    <row r="4">
      <c r="A4" s="3" t="inlineStr">
        <is>
          <t>The shape, in every register</t>
        </is>
      </c>
    </row>
    <row r="5">
      <c r="A5" s="2" t="inlineStr">
        <is>
          <t>Chose, Rejected, Why, Cost we accept - plus ID, date, decider, status, and links. If two registers use different shapes nobody can read across them, and reading across them is where the value compounds.</t>
        </is>
      </c>
    </row>
    <row r="6">
      <c r="A6" s="2" t="inlineStr"/>
    </row>
    <row r="7">
      <c r="A7" s="3" t="inlineStr">
        <is>
          <t>Why four registers rather than one</t>
        </is>
      </c>
    </row>
    <row r="8">
      <c r="A8" s="2" t="inlineStr">
        <is>
          <t>Because the clocks differ. Directions run until superseded, exceptions expire on a date, assessments refresh on a cycle, classifications hold until the underlying fact changes. A register whose entries expire on four clocks cannot be reviewed as one thing.</t>
        </is>
      </c>
    </row>
    <row r="9">
      <c r="A9" s="2" t="inlineStr"/>
    </row>
    <row r="10">
      <c r="A10" s="3" t="inlineStr">
        <is>
          <t>The sheets</t>
        </is>
      </c>
    </row>
    <row r="11">
      <c r="A11" s="2" t="inlineStr">
        <is>
          <t>Decisions - directions, selections and dispositions. The main log.</t>
        </is>
      </c>
    </row>
    <row r="12">
      <c r="A12" s="2" t="inlineStr">
        <is>
          <t>Exceptions - permitted violations, each with an expiry and a closure condition.</t>
        </is>
      </c>
    </row>
    <row r="13">
      <c r="A13" s="2" t="inlineStr">
        <is>
          <t>Classifications - values set on repository records, with the rationale that is normally lost.</t>
        </is>
      </c>
    </row>
    <row r="14">
      <c r="A14" s="2" t="inlineStr">
        <is>
          <t>Assessments - judgements at a point in time, with the rater, the anchor cited, and the next cycle.</t>
        </is>
      </c>
    </row>
    <row r="15">
      <c r="A15" s="2" t="inlineStr">
        <is>
          <t>Links - one flat table joining any record to the applications, objects, domains, interfaces and projects it touches.</t>
        </is>
      </c>
    </row>
    <row r="16">
      <c r="A16" s="2" t="inlineStr">
        <is>
          <t>Derived views - health of the practice: expiring records, missing fields, repetition, and the records nobody has ever cited.</t>
        </is>
      </c>
    </row>
    <row r="17">
      <c r="A17" s="2" t="inlineStr"/>
    </row>
    <row r="18">
      <c r="A18" s="3" t="inlineStr">
        <is>
          <t>How to run it</t>
        </is>
      </c>
    </row>
    <row r="19">
      <c r="A19" s="2" t="inlineStr">
        <is>
          <t>1. The decider writes the record, at the moment, in about twenty minutes. If it takes longer, the decision has not been made yet.</t>
        </is>
      </c>
    </row>
    <row r="20">
      <c r="A20" s="2" t="inlineStr">
        <is>
          <t>2. Route by clock: does it break a rule (Exceptions), set a value on a record (Classifications), express a judgement that refreshes (Assessments), or bind future designs and purchases (Decisions).</t>
        </is>
      </c>
    </row>
    <row r="21">
      <c r="A21" s="2" t="inlineStr">
        <is>
          <t>3. Add rows to Links for everything the record touches. Without links a record is findable only by somebody who already knows it exists.</t>
        </is>
      </c>
    </row>
    <row r="22">
      <c r="A22" s="2" t="inlineStr">
        <is>
          <t>4. Read Derived views monthly. The repetition counter is the one that pays - the same topic arriving three times is a missing principle announcing itself.</t>
        </is>
      </c>
    </row>
    <row r="23">
      <c r="A23" s="2" t="inlineStr">
        <is>
          <t>5. Never delete. Set status to superseded and point forward in the Supersedes / superseded-by columns.</t>
        </is>
      </c>
    </row>
    <row r="24">
      <c r="A24" s="2" t="inlineStr"/>
    </row>
    <row r="25">
      <c r="A25" s="3" t="inlineStr">
        <is>
          <t>Two fields people leave out, and should not</t>
        </is>
      </c>
    </row>
    <row r="26">
      <c r="A26" s="2" t="inlineStr">
        <is>
          <t>Rejected - without it nobody can tell whether their idea was examined and dismissed, or never occurred to anybody. Both are common and need different conversations.</t>
        </is>
      </c>
    </row>
    <row r="27">
      <c r="A27" s="2" t="inlineStr">
        <is>
          <t>Cost we accept - a decision with no stated cost was a preference.</t>
        </is>
      </c>
    </row>
    <row r="28">
      <c r="A28" s="2" t="inlineStr"/>
    </row>
    <row r="29">
      <c r="A29" s="4" t="inlineStr">
        <is>
          <t>Yellow cells are yours to fill. Everything else computes.</t>
        </is>
      </c>
    </row>
    <row r="30">
      <c r="A30" s="4" t="inlineStr">
        <is>
          <t>Companion article: mehdibamou.com/publications/decision-records - free to use and adapt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6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As-at date</t>
        </is>
      </c>
      <c r="B2" s="7" t="n">
        <v>46254</v>
      </c>
      <c r="C2" s="8" t="inlineStr">
        <is>
          <t>Drives expiry countdowns and staleness</t>
        </is>
      </c>
    </row>
    <row r="3">
      <c r="A3" s="6" t="inlineStr">
        <is>
          <t>Warn before expiry (days)</t>
        </is>
      </c>
      <c r="B3" s="9" t="n">
        <v>60</v>
      </c>
      <c r="C3" s="8" t="inlineStr">
        <is>
          <t>How early a record shows as due</t>
        </is>
      </c>
    </row>
    <row r="4">
      <c r="A4" s="6" t="inlineStr">
        <is>
          <t>Assessment cycle (months)</t>
        </is>
      </c>
      <c r="B4" s="9" t="n">
        <v>6</v>
      </c>
      <c r="C4" s="8" t="inlineStr">
        <is>
          <t>After this an assessment is stale</t>
        </is>
      </c>
    </row>
    <row r="5">
      <c r="A5" s="6" t="inlineStr">
        <is>
          <t>Repetition threshold</t>
        </is>
      </c>
      <c r="B5" s="9" t="n">
        <v>3</v>
      </c>
      <c r="C5" s="8" t="inlineStr">
        <is>
          <t>Same topic this many times means a missing principle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Direction</t>
        </is>
      </c>
      <c r="B1" s="10" t="inlineStr">
        <is>
          <t>Proposed</t>
        </is>
      </c>
      <c r="C1" s="10" t="inlineStr">
        <is>
          <t>Open</t>
        </is>
      </c>
      <c r="D1" s="10" t="inlineStr">
        <is>
          <t>Application</t>
        </is>
      </c>
      <c r="E1" s="10" t="inlineStr">
        <is>
          <t>Business fit</t>
        </is>
      </c>
    </row>
    <row r="2">
      <c r="A2" s="10" t="inlineStr">
        <is>
          <t>Selection</t>
        </is>
      </c>
      <c r="B2" s="10" t="inlineStr">
        <is>
          <t>Accepted</t>
        </is>
      </c>
      <c r="C2" s="10" t="inlineStr">
        <is>
          <t>Closed</t>
        </is>
      </c>
      <c r="D2" s="10" t="inlineStr">
        <is>
          <t>IT component</t>
        </is>
      </c>
      <c r="E2" s="10" t="inlineStr">
        <is>
          <t>Technical fit</t>
        </is>
      </c>
    </row>
    <row r="3">
      <c r="A3" s="10" t="inlineStr">
        <is>
          <t>Disposition</t>
        </is>
      </c>
      <c r="B3" s="10" t="inlineStr">
        <is>
          <t>Superseded</t>
        </is>
      </c>
      <c r="C3" s="10" t="inlineStr">
        <is>
          <t>Extended</t>
        </is>
      </c>
      <c r="D3" s="10" t="inlineStr">
        <is>
          <t>Object</t>
        </is>
      </c>
      <c r="E3" s="10" t="inlineStr">
        <is>
          <t>Capability maturity</t>
        </is>
      </c>
    </row>
    <row r="4">
      <c r="B4" s="10" t="inlineStr">
        <is>
          <t>Rejected</t>
        </is>
      </c>
      <c r="C4" s="10" t="inlineStr">
        <is>
          <t>Expired</t>
        </is>
      </c>
      <c r="D4" s="10" t="inlineStr">
        <is>
          <t>Domain</t>
        </is>
      </c>
      <c r="E4" s="10" t="inlineStr">
        <is>
          <t>Data quality</t>
        </is>
      </c>
    </row>
    <row r="5">
      <c r="D5" s="10" t="inlineStr">
        <is>
          <t>Interface</t>
        </is>
      </c>
    </row>
    <row r="6">
      <c r="D6" s="10" t="inlineStr">
        <is>
          <t>Project</t>
        </is>
      </c>
    </row>
    <row r="7">
      <c r="D7" s="10" t="inlineStr">
        <is>
          <t>Capability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4" customWidth="1" min="5" max="5"/>
    <col width="40" customWidth="1" min="6" max="6"/>
    <col width="44" customWidth="1" min="7" max="7"/>
    <col width="44" customWidth="1" min="8" max="8"/>
    <col width="40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</cols>
  <sheetData>
    <row r="1">
      <c r="A1" s="11" t="inlineStr">
        <is>
          <t>ID</t>
        </is>
      </c>
      <c r="B1" s="11" t="inlineStr">
        <is>
          <t>Kind</t>
        </is>
      </c>
      <c r="C1" s="11" t="inlineStr">
        <is>
          <t>Date</t>
        </is>
      </c>
      <c r="D1" s="11" t="inlineStr">
        <is>
          <t>Decided by</t>
        </is>
      </c>
      <c r="E1" s="11" t="inlineStr">
        <is>
          <t>Topic</t>
        </is>
      </c>
      <c r="F1" s="11" t="inlineStr">
        <is>
          <t>Chose</t>
        </is>
      </c>
      <c r="G1" s="11" t="inlineStr">
        <is>
          <t>Rejected</t>
        </is>
      </c>
      <c r="H1" s="11" t="inlineStr">
        <is>
          <t>Why</t>
        </is>
      </c>
      <c r="I1" s="11" t="inlineStr">
        <is>
          <t>Cost we accept</t>
        </is>
      </c>
      <c r="J1" s="11" t="inlineStr">
        <is>
          <t>Status</t>
        </is>
      </c>
      <c r="K1" s="11" t="inlineStr">
        <is>
          <t>Supersedes</t>
        </is>
      </c>
      <c r="L1" s="11" t="inlineStr">
        <is>
          <t>Superseded by</t>
        </is>
      </c>
      <c r="M1" s="11" t="inlineStr">
        <is>
          <t>Review date</t>
        </is>
      </c>
      <c r="N1" s="11" t="inlineStr">
        <is>
          <t>Days to review</t>
        </is>
      </c>
    </row>
    <row r="2">
      <c r="A2" s="12" t="inlineStr">
        <is>
          <t>ADR-018</t>
        </is>
      </c>
      <c r="B2" s="12" t="inlineStr">
        <is>
          <t>Direction</t>
        </is>
      </c>
      <c r="C2" s="13" t="n">
        <v>45203</v>
      </c>
      <c r="D2" s="12" t="inlineStr">
        <is>
          <t>Design forum</t>
        </is>
      </c>
      <c r="E2" s="12" t="inlineStr">
        <is>
          <t>Price mastership</t>
        </is>
      </c>
      <c r="F2" s="12" t="inlineStr">
        <is>
          <t>Price is mastered by the commerce platform</t>
        </is>
      </c>
      <c r="G2" s="12" t="inlineStr">
        <is>
          <t>Mastering price in the core, which nobody wanted to configure at the time</t>
        </is>
      </c>
      <c r="H2" s="12" t="inlineStr">
        <is>
          <t>Commerce was the only system with a pricing screen and the core rollout had not started</t>
        </is>
      </c>
      <c r="I2" s="12" t="inlineStr">
        <is>
          <t>The core consumes price from commerce, which reverses the usual direction</t>
        </is>
      </c>
      <c r="J2" s="12" t="inlineStr">
        <is>
          <t>Superseded</t>
        </is>
      </c>
      <c r="K2" s="14" t="inlineStr"/>
      <c r="L2" s="12" t="inlineStr">
        <is>
          <t>ADR-041</t>
        </is>
      </c>
      <c r="M2" s="14" t="n"/>
      <c r="N2" s="15">
        <f>IF(M2="","",M2-Settings!$B$2)</f>
        <v/>
      </c>
    </row>
    <row r="3">
      <c r="A3" s="12" t="inlineStr">
        <is>
          <t>ADR-041</t>
        </is>
      </c>
      <c r="B3" s="12" t="inlineStr">
        <is>
          <t>Direction</t>
        </is>
      </c>
      <c r="C3" s="13" t="n">
        <v>45608</v>
      </c>
      <c r="D3" s="12" t="inlineStr">
        <is>
          <t>Architecture board</t>
        </is>
      </c>
      <c r="E3" s="12" t="inlineStr">
        <is>
          <t>Price mastership</t>
        </is>
      </c>
      <c r="F3" s="12" t="inlineStr">
        <is>
          <t>Price is mastered by the core</t>
        </is>
      </c>
      <c r="G3" s="12" t="inlineStr">
        <is>
          <t>A separate pricing engine, judged premature with one market live</t>
        </is>
      </c>
      <c r="H3" s="12" t="inlineStr">
        <is>
          <t>Only one market was live and the condition technique covered the rules then</t>
        </is>
      </c>
      <c r="I3" s="12" t="inlineStr">
        <is>
          <t>Pricing rules stay within what the standard can express</t>
        </is>
      </c>
      <c r="J3" s="12" t="inlineStr">
        <is>
          <t>Superseded</t>
        </is>
      </c>
      <c r="K3" s="12" t="inlineStr">
        <is>
          <t>ADR-018</t>
        </is>
      </c>
      <c r="L3" s="12" t="inlineStr">
        <is>
          <t>ADR-092</t>
        </is>
      </c>
      <c r="M3" s="14" t="n"/>
      <c r="N3" s="15">
        <f>IF(M3="","",M3-Settings!$B$2)</f>
        <v/>
      </c>
    </row>
    <row r="4">
      <c r="A4" s="12" t="inlineStr">
        <is>
          <t>ADR-063</t>
        </is>
      </c>
      <c r="B4" s="12" t="inlineStr">
        <is>
          <t>Direction</t>
        </is>
      </c>
      <c r="C4" s="13" t="n">
        <v>45841</v>
      </c>
      <c r="D4" s="12" t="inlineStr">
        <is>
          <t>Architecture board</t>
        </is>
      </c>
      <c r="E4" s="12" t="inlineStr">
        <is>
          <t>Core integration</t>
        </is>
      </c>
      <c r="F4" s="12" t="inlineStr">
        <is>
          <t>Every interface to the core uses a released API or event</t>
        </is>
      </c>
      <c r="G4" s="12" t="inlineStr">
        <is>
          <t>Direct table reads, which two existing interfaces already used</t>
        </is>
      </c>
      <c r="H4" s="12" t="inlineStr">
        <is>
          <t>Two direct reads built in 2022 broke the last upgrade and cost a weekend</t>
        </is>
      </c>
      <c r="I4" s="12" t="inlineStr">
        <is>
          <t>Some interfaces wait for the vendor to publish an API</t>
        </is>
      </c>
      <c r="J4" s="12" t="inlineStr">
        <is>
          <t>Accepted</t>
        </is>
      </c>
      <c r="K4" s="14" t="inlineStr"/>
      <c r="L4" s="14" t="inlineStr"/>
      <c r="M4" s="14" t="n"/>
      <c r="N4" s="15">
        <f>IF(M4="","",M4-Settings!$B$2)</f>
        <v/>
      </c>
    </row>
    <row r="5">
      <c r="A5" s="12" t="inlineStr">
        <is>
          <t>ADR-071</t>
        </is>
      </c>
      <c r="B5" s="12" t="inlineStr">
        <is>
          <t>Direction</t>
        </is>
      </c>
      <c r="C5" s="13" t="n">
        <v>46035</v>
      </c>
      <c r="D5" s="12" t="inlineStr">
        <is>
          <t>Architecture board</t>
        </is>
      </c>
      <c r="E5" s="12" t="inlineStr">
        <is>
          <t>Customer copies</t>
        </is>
      </c>
      <c r="F5" s="12" t="inlineStr">
        <is>
          <t>Campaign tool reads customer via API and holds no authoritative copy</t>
        </is>
      </c>
      <c r="G5" s="12" t="inlineStr">
        <is>
          <t>A local customer store, which would have shipped the campaign three weeks earlier</t>
        </is>
      </c>
      <c r="H5" s="12" t="inlineStr">
        <is>
          <t>Three of last year's four data incidents came from two systems owning one object</t>
        </is>
      </c>
      <c r="I5" s="12" t="inlineStr">
        <is>
          <t>The campaign shipped two weeks later than hoped</t>
        </is>
      </c>
      <c r="J5" s="12" t="inlineStr">
        <is>
          <t>Accepted</t>
        </is>
      </c>
      <c r="K5" s="14" t="inlineStr"/>
      <c r="L5" s="14" t="inlineStr"/>
      <c r="M5" s="14" t="n"/>
      <c r="N5" s="15">
        <f>IF(M5="","",M5-Settings!$B$2)</f>
        <v/>
      </c>
    </row>
    <row r="6">
      <c r="A6" s="12" t="inlineStr">
        <is>
          <t>ADR-088</t>
        </is>
      </c>
      <c r="B6" s="12" t="inlineStr">
        <is>
          <t>Direction</t>
        </is>
      </c>
      <c r="C6" s="13" t="n">
        <v>46049</v>
      </c>
      <c r="D6" s="12" t="inlineStr">
        <is>
          <t>Design forum</t>
        </is>
      </c>
      <c r="E6" s="12" t="inlineStr">
        <is>
          <t>Event broker</t>
        </is>
      </c>
      <c r="F6" s="12" t="inlineStr">
        <is>
          <t>Defer the broker choice until a second producer exists</t>
        </is>
      </c>
      <c r="G6" s="12" t="inlineStr">
        <is>
          <t>Choosing now on one producer and a proof of concept</t>
        </is>
      </c>
      <c r="H6" s="12" t="inlineStr">
        <is>
          <t>A single producer does not exercise load, replay or operability</t>
        </is>
      </c>
      <c r="I6" s="12" t="inlineStr">
        <is>
          <t>First producer ships on the existing queue and will migrate, roughly two weeks of rework</t>
        </is>
      </c>
      <c r="J6" s="12" t="inlineStr">
        <is>
          <t>Accepted</t>
        </is>
      </c>
      <c r="K6" s="14" t="inlineStr"/>
      <c r="L6" s="14" t="inlineStr"/>
      <c r="M6" s="13" t="n">
        <v>46295</v>
      </c>
      <c r="N6" s="15">
        <f>IF(M6="","",M6-Settings!$B$2)</f>
        <v/>
      </c>
    </row>
    <row r="7">
      <c r="A7" s="12" t="inlineStr">
        <is>
          <t>ADR-092</t>
        </is>
      </c>
      <c r="B7" s="12" t="inlineStr">
        <is>
          <t>Direction</t>
        </is>
      </c>
      <c r="C7" s="13" t="n">
        <v>46182</v>
      </c>
      <c r="D7" s="12" t="inlineStr">
        <is>
          <t>Architecture board</t>
        </is>
      </c>
      <c r="E7" s="12" t="inlineStr">
        <is>
          <t>Price mastership</t>
        </is>
      </c>
      <c r="F7" s="12" t="inlineStr">
        <is>
          <t>Price becomes mastered by the side-by-side pricing service from the Q4 cutover</t>
        </is>
      </c>
      <c r="G7" s="12" t="inlineStr">
        <is>
          <t>Extending the condition technique in the core. Mastering price in commerce, dismissed because commerce consumes every other object</t>
        </is>
      </c>
      <c r="H7" s="12" t="inlineStr">
        <is>
          <t>The rules the business needs cannot be expressed without a core modification, and we are counting those down</t>
        </is>
      </c>
      <c r="I7" s="12" t="inlineStr">
        <is>
          <t>Eight weeks of dual write and a reconciliation nobody wants to run</t>
        </is>
      </c>
      <c r="J7" s="12" t="inlineStr">
        <is>
          <t>Accepted</t>
        </is>
      </c>
      <c r="K7" s="12" t="inlineStr">
        <is>
          <t>ADR-041</t>
        </is>
      </c>
      <c r="L7" s="14" t="inlineStr"/>
      <c r="M7" s="14" t="n"/>
      <c r="N7" s="15">
        <f>IF(M7="","",M7-Settings!$B$2)</f>
        <v/>
      </c>
    </row>
    <row r="8">
      <c r="A8" s="12" t="inlineStr">
        <is>
          <t>SEL-07</t>
        </is>
      </c>
      <c r="B8" s="12" t="inlineStr">
        <is>
          <t>Selection</t>
        </is>
      </c>
      <c r="C8" s="13" t="n">
        <v>46099</v>
      </c>
      <c r="D8" s="12" t="inlineStr">
        <is>
          <t>Steering committee</t>
        </is>
      </c>
      <c r="E8" s="12" t="inlineStr">
        <is>
          <t>Warehouse system, market D</t>
        </is>
      </c>
      <c r="F8" s="12" t="inlineStr">
        <is>
          <t>Vendor B</t>
        </is>
      </c>
      <c r="G8" s="12" t="inlineStr">
        <is>
          <t>Vendor A, excluded on mandatory M-1 (cannot operate against externally mastered data, demonstrated live). Vendor C withdrew at shortlist</t>
        </is>
      </c>
      <c r="H8" s="12" t="inlineStr">
        <is>
          <t>B met all three mandatory criteria; the commercial gap was decisive and the architecture gap judged recoverable through configuration</t>
        </is>
      </c>
      <c r="I8" s="12" t="inlineStr">
        <is>
          <t>B publishes events by polling. We accept latency on stock updates, written into the contract</t>
        </is>
      </c>
      <c r="J8" s="12" t="inlineStr">
        <is>
          <t>Accepted</t>
        </is>
      </c>
      <c r="K8" s="14" t="inlineStr"/>
      <c r="L8" s="14" t="inlineStr"/>
      <c r="M8" s="13" t="n">
        <v>47210</v>
      </c>
      <c r="N8" s="15">
        <f>IF(M8="","",M8-Settings!$B$2)</f>
        <v/>
      </c>
    </row>
    <row r="9">
      <c r="A9" s="12" t="inlineStr">
        <is>
          <t>DSP-22</t>
        </is>
      </c>
      <c r="B9" s="12" t="inlineStr">
        <is>
          <t>Disposition</t>
        </is>
      </c>
      <c r="C9" s="13" t="n">
        <v>46148</v>
      </c>
      <c r="D9" s="12" t="inlineStr">
        <is>
          <t>Domain architect</t>
        </is>
      </c>
      <c r="E9" s="12" t="inlineStr">
        <is>
          <t>Market F picking sequence</t>
        </is>
      </c>
      <c r="F9" s="12" t="inlineStr">
        <is>
          <t>Fit-gap list with a twelve-month review</t>
        </is>
      </c>
      <c r="G9" s="12" t="inlineStr">
        <is>
          <t>Building it side-by-side, or a core modification</t>
        </is>
      </c>
      <c r="H9" s="12" t="inlineStr">
        <is>
          <t>No legal basis and no group need. The warehouse layout predates the standard</t>
        </is>
      </c>
      <c r="I9" s="12" t="inlineStr">
        <is>
          <t>Market F retrains staff on the standard sequence</t>
        </is>
      </c>
      <c r="J9" s="12" t="inlineStr">
        <is>
          <t>Accepted</t>
        </is>
      </c>
      <c r="K9" s="14" t="inlineStr"/>
      <c r="L9" s="14" t="inlineStr"/>
      <c r="M9" s="13" t="n">
        <v>46513</v>
      </c>
      <c r="N9" s="15">
        <f>IF(M9="","",M9-Settings!$B$2)</f>
        <v/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5">
        <f>IF(M10="","",M10-Settings!$B$2)</f>
        <v/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5">
        <f>IF(M11="","",M11-Settings!$B$2)</f>
        <v/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5">
        <f>IF(M12="","",M12-Settings!$B$2)</f>
        <v/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>
        <f>IF(M13="","",M13-Settings!$B$2)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5">
        <f>IF(M14="","",M14-Settings!$B$2)</f>
        <v/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5">
        <f>IF(M15="","",M15-Settings!$B$2)</f>
        <v/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5">
        <f>IF(M16="","",M16-Settings!$B$2)</f>
        <v/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5">
        <f>IF(M17="","",M17-Settings!$B$2)</f>
        <v/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5">
        <f>IF(M18="","",M18-Settings!$B$2)</f>
        <v/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5">
        <f>IF(M19="","",M19-Settings!$B$2)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5">
        <f>IF(M20="","",M20-Settings!$B$2)</f>
        <v/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5">
        <f>IF(M21="","",M21-Settings!$B$2)</f>
        <v/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5">
        <f>IF(M22="","",M22-Settings!$B$2)</f>
        <v/>
      </c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5">
        <f>IF(M23="","",M23-Settings!$B$2)</f>
        <v/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5">
        <f>IF(M24="","",M24-Settings!$B$2)</f>
        <v/>
      </c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5">
        <f>IF(M25="","",M25-Settings!$B$2)</f>
        <v/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5">
        <f>IF(M26="","",M26-Settings!$B$2)</f>
        <v/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5">
        <f>IF(M27="","",M27-Settings!$B$2)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5">
        <f>IF(M28="","",M28-Settings!$B$2)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5">
        <f>IF(M29="","",M29-Settings!$B$2)</f>
        <v/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5">
        <f>IF(M30="","",M30-Settings!$B$2)</f>
        <v/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5">
        <f>IF(M31="","",M31-Settings!$B$2)</f>
        <v/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5">
        <f>IF(M32="","",M32-Settings!$B$2)</f>
        <v/>
      </c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5">
        <f>IF(M33="","",M33-Settings!$B$2)</f>
        <v/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5">
        <f>IF(M34="","",M34-Settings!$B$2)</f>
        <v/>
      </c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5">
        <f>IF(M35="","",M35-Settings!$B$2)</f>
        <v/>
      </c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5">
        <f>IF(M36="","",M36-Settings!$B$2)</f>
        <v/>
      </c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5">
        <f>IF(M37="","",M37-Settings!$B$2)</f>
        <v/>
      </c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5">
        <f>IF(M38="","",M38-Settings!$B$2)</f>
        <v/>
      </c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5">
        <f>IF(M39="","",M39-Settings!$B$2)</f>
        <v/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5">
        <f>IF(M40="","",M40-Settings!$B$2)</f>
        <v/>
      </c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5">
        <f>IF(M41="","",M41-Settings!$B$2)</f>
        <v/>
      </c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5">
        <f>IF(M42="","",M42-Settings!$B$2)</f>
        <v/>
      </c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5">
        <f>IF(M43="","",M43-Settings!$B$2)</f>
        <v/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5">
        <f>IF(M44="","",M44-Settings!$B$2)</f>
        <v/>
      </c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5">
        <f>IF(M45="","",M45-Settings!$B$2)</f>
        <v/>
      </c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5">
        <f>IF(M46="","",M46-Settings!$B$2)</f>
        <v/>
      </c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5">
        <f>IF(M47="","",M47-Settings!$B$2)</f>
        <v/>
      </c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5">
        <f>IF(M48="","",M48-Settings!$B$2)</f>
        <v/>
      </c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5">
        <f>IF(M49="","",M49-Settings!$B$2)</f>
        <v/>
      </c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5">
        <f>IF(M50="","",M50-Settings!$B$2)</f>
        <v/>
      </c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5">
        <f>IF(M51="","",M51-Settings!$B$2)</f>
        <v/>
      </c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5">
        <f>IF(M52="","",M52-Settings!$B$2)</f>
        <v/>
      </c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5">
        <f>IF(M53="","",M53-Settings!$B$2)</f>
        <v/>
      </c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5">
        <f>IF(M54="","",M54-Settings!$B$2)</f>
        <v/>
      </c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5">
        <f>IF(M55="","",M55-Settings!$B$2)</f>
        <v/>
      </c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5">
        <f>IF(M56="","",M56-Settings!$B$2)</f>
        <v/>
      </c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5">
        <f>IF(M57="","",M57-Settings!$B$2)</f>
        <v/>
      </c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5">
        <f>IF(M58="","",M58-Settings!$B$2)</f>
        <v/>
      </c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5">
        <f>IF(M59="","",M59-Settings!$B$2)</f>
        <v/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5">
        <f>IF(M60="","",M60-Settings!$B$2)</f>
        <v/>
      </c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5">
        <f>IF(M61="","",M61-Settings!$B$2)</f>
        <v/>
      </c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5">
        <f>IF(M62="","",M62-Settings!$B$2)</f>
        <v/>
      </c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5">
        <f>IF(M63="","",M63-Settings!$B$2)</f>
        <v/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5">
        <f>IF(M64="","",M64-Settings!$B$2)</f>
        <v/>
      </c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5">
        <f>IF(M65="","",M65-Settings!$B$2)</f>
        <v/>
      </c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5">
        <f>IF(M66="","",M66-Settings!$B$2)</f>
        <v/>
      </c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5">
        <f>IF(M67="","",M67-Settings!$B$2)</f>
        <v/>
      </c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5">
        <f>IF(M68="","",M68-Settings!$B$2)</f>
        <v/>
      </c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5">
        <f>IF(M69="","",M69-Settings!$B$2)</f>
        <v/>
      </c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5">
        <f>IF(M70="","",M70-Settings!$B$2)</f>
        <v/>
      </c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5">
        <f>IF(M71="","",M71-Settings!$B$2)</f>
        <v/>
      </c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5">
        <f>IF(M72="","",M72-Settings!$B$2)</f>
        <v/>
      </c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5">
        <f>IF(M73="","",M73-Settings!$B$2)</f>
        <v/>
      </c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5">
        <f>IF(M74="","",M74-Settings!$B$2)</f>
        <v/>
      </c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5">
        <f>IF(M75="","",M75-Settings!$B$2)</f>
        <v/>
      </c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5">
        <f>IF(M76="","",M76-Settings!$B$2)</f>
        <v/>
      </c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5">
        <f>IF(M77="","",M77-Settings!$B$2)</f>
        <v/>
      </c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5">
        <f>IF(M78="","",M78-Settings!$B$2)</f>
        <v/>
      </c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5">
        <f>IF(M79="","",M79-Settings!$B$2)</f>
        <v/>
      </c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5">
        <f>IF(M80="","",M80-Settings!$B$2)</f>
        <v/>
      </c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5">
        <f>IF(M81="","",M81-Settings!$B$2)</f>
        <v/>
      </c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5">
        <f>IF(M82="","",M82-Settings!$B$2)</f>
        <v/>
      </c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5">
        <f>IF(M83="","",M83-Settings!$B$2)</f>
        <v/>
      </c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5">
        <f>IF(M84="","",M84-Settings!$B$2)</f>
        <v/>
      </c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5">
        <f>IF(M85="","",M85-Settings!$B$2)</f>
        <v/>
      </c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5">
        <f>IF(M86="","",M86-Settings!$B$2)</f>
        <v/>
      </c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5">
        <f>IF(M87="","",M87-Settings!$B$2)</f>
        <v/>
      </c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5">
        <f>IF(M88="","",M88-Settings!$B$2)</f>
        <v/>
      </c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5">
        <f>IF(M89="","",M89-Settings!$B$2)</f>
        <v/>
      </c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5">
        <f>IF(M90="","",M90-Settings!$B$2)</f>
        <v/>
      </c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5">
        <f>IF(M91="","",M91-Settings!$B$2)</f>
        <v/>
      </c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5">
        <f>IF(M92="","",M92-Settings!$B$2)</f>
        <v/>
      </c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5">
        <f>IF(M93="","",M93-Settings!$B$2)</f>
        <v/>
      </c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5">
        <f>IF(M94="","",M94-Settings!$B$2)</f>
        <v/>
      </c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5">
        <f>IF(M95="","",M95-Settings!$B$2)</f>
        <v/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5">
        <f>IF(M96="","",M96-Settings!$B$2)</f>
        <v/>
      </c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5">
        <f>IF(M97="","",M97-Settings!$B$2)</f>
        <v/>
      </c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5">
        <f>IF(M98="","",M98-Settings!$B$2)</f>
        <v/>
      </c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5">
        <f>IF(M99="","",M99-Settings!$B$2)</f>
        <v/>
      </c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5">
        <f>IF(M100="","",M100-Settings!$B$2)</f>
        <v/>
      </c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5">
        <f>IF(M101="","",M101-Settings!$B$2)</f>
        <v/>
      </c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5">
        <f>IF(M102="","",M102-Settings!$B$2)</f>
        <v/>
      </c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5">
        <f>IF(M103="","",M103-Settings!$B$2)</f>
        <v/>
      </c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5">
        <f>IF(M104="","",M104-Settings!$B$2)</f>
        <v/>
      </c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5">
        <f>IF(M105="","",M105-Settings!$B$2)</f>
        <v/>
      </c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5">
        <f>IF(M106="","",M106-Settings!$B$2)</f>
        <v/>
      </c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5">
        <f>IF(M107="","",M107-Settings!$B$2)</f>
        <v/>
      </c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5">
        <f>IF(M108="","",M108-Settings!$B$2)</f>
        <v/>
      </c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5">
        <f>IF(M109="","",M109-Settings!$B$2)</f>
        <v/>
      </c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5">
        <f>IF(M110="","",M110-Settings!$B$2)</f>
        <v/>
      </c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5">
        <f>IF(M111="","",M111-Settings!$B$2)</f>
        <v/>
      </c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5">
        <f>IF(M112="","",M112-Settings!$B$2)</f>
        <v/>
      </c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5">
        <f>IF(M113="","",M113-Settings!$B$2)</f>
        <v/>
      </c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5">
        <f>IF(M114="","",M114-Settings!$B$2)</f>
        <v/>
      </c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5">
        <f>IF(M115="","",M115-Settings!$B$2)</f>
        <v/>
      </c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5">
        <f>IF(M116="","",M116-Settings!$B$2)</f>
        <v/>
      </c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5">
        <f>IF(M117="","",M117-Settings!$B$2)</f>
        <v/>
      </c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5">
        <f>IF(M118="","",M118-Settings!$B$2)</f>
        <v/>
      </c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5">
        <f>IF(M119="","",M119-Settings!$B$2)</f>
        <v/>
      </c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5">
        <f>IF(M120="","",M120-Settings!$B$2)</f>
        <v/>
      </c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5">
        <f>IF(M121="","",M121-Settings!$B$2)</f>
        <v/>
      </c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5">
        <f>IF(M122="","",M122-Settings!$B$2)</f>
        <v/>
      </c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5">
        <f>IF(M123="","",M123-Settings!$B$2)</f>
        <v/>
      </c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5">
        <f>IF(M124="","",M124-Settings!$B$2)</f>
        <v/>
      </c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5">
        <f>IF(M125="","",M125-Settings!$B$2)</f>
        <v/>
      </c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5">
        <f>IF(M126="","",M126-Settings!$B$2)</f>
        <v/>
      </c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5">
        <f>IF(M127="","",M127-Settings!$B$2)</f>
        <v/>
      </c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5">
        <f>IF(M128="","",M128-Settings!$B$2)</f>
        <v/>
      </c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5">
        <f>IF(M129="","",M129-Settings!$B$2)</f>
        <v/>
      </c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5">
        <f>IF(M130="","",M130-Settings!$B$2)</f>
        <v/>
      </c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5">
        <f>IF(M131="","",M131-Settings!$B$2)</f>
        <v/>
      </c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5">
        <f>IF(M132="","",M132-Settings!$B$2)</f>
        <v/>
      </c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5">
        <f>IF(M133="","",M133-Settings!$B$2)</f>
        <v/>
      </c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5">
        <f>IF(M134="","",M134-Settings!$B$2)</f>
        <v/>
      </c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5">
        <f>IF(M135="","",M135-Settings!$B$2)</f>
        <v/>
      </c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5">
        <f>IF(M136="","",M136-Settings!$B$2)</f>
        <v/>
      </c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5">
        <f>IF(M137="","",M137-Settings!$B$2)</f>
        <v/>
      </c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5">
        <f>IF(M138="","",M138-Settings!$B$2)</f>
        <v/>
      </c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5">
        <f>IF(M139="","",M139-Settings!$B$2)</f>
        <v/>
      </c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5">
        <f>IF(M140="","",M140-Settings!$B$2)</f>
        <v/>
      </c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5">
        <f>IF(M141="","",M141-Settings!$B$2)</f>
        <v/>
      </c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5">
        <f>IF(M142="","",M142-Settings!$B$2)</f>
        <v/>
      </c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5">
        <f>IF(M143="","",M143-Settings!$B$2)</f>
        <v/>
      </c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5">
        <f>IF(M144="","",M144-Settings!$B$2)</f>
        <v/>
      </c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5">
        <f>IF(M145="","",M145-Settings!$B$2)</f>
        <v/>
      </c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5">
        <f>IF(M146="","",M146-Settings!$B$2)</f>
        <v/>
      </c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5">
        <f>IF(M147="","",M147-Settings!$B$2)</f>
        <v/>
      </c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5">
        <f>IF(M148="","",M148-Settings!$B$2)</f>
        <v/>
      </c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5">
        <f>IF(M149="","",M149-Settings!$B$2)</f>
        <v/>
      </c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5">
        <f>IF(M150="","",M150-Settings!$B$2)</f>
        <v/>
      </c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5">
        <f>IF(M151="","",M151-Settings!$B$2)</f>
        <v/>
      </c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5">
        <f>IF(M152="","",M152-Settings!$B$2)</f>
        <v/>
      </c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5">
        <f>IF(M153="","",M153-Settings!$B$2)</f>
        <v/>
      </c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5">
        <f>IF(M154="","",M154-Settings!$B$2)</f>
        <v/>
      </c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5">
        <f>IF(M155="","",M155-Settings!$B$2)</f>
        <v/>
      </c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5">
        <f>IF(M156="","",M156-Settings!$B$2)</f>
        <v/>
      </c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5">
        <f>IF(M157="","",M157-Settings!$B$2)</f>
        <v/>
      </c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5">
        <f>IF(M158="","",M158-Settings!$B$2)</f>
        <v/>
      </c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5">
        <f>IF(M159="","",M159-Settings!$B$2)</f>
        <v/>
      </c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5">
        <f>IF(M160="","",M160-Settings!$B$2)</f>
        <v/>
      </c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5">
        <f>IF(M161="","",M161-Settings!$B$2)</f>
        <v/>
      </c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5">
        <f>IF(M162="","",M162-Settings!$B$2)</f>
        <v/>
      </c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5">
        <f>IF(M163="","",M163-Settings!$B$2)</f>
        <v/>
      </c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5">
        <f>IF(M164="","",M164-Settings!$B$2)</f>
        <v/>
      </c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5">
        <f>IF(M165="","",M165-Settings!$B$2)</f>
        <v/>
      </c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5">
        <f>IF(M166="","",M166-Settings!$B$2)</f>
        <v/>
      </c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5">
        <f>IF(M167="","",M167-Settings!$B$2)</f>
        <v/>
      </c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5">
        <f>IF(M168="","",M168-Settings!$B$2)</f>
        <v/>
      </c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5">
        <f>IF(M169="","",M169-Settings!$B$2)</f>
        <v/>
      </c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5">
        <f>IF(M170="","",M170-Settings!$B$2)</f>
        <v/>
      </c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5">
        <f>IF(M171="","",M171-Settings!$B$2)</f>
        <v/>
      </c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5">
        <f>IF(M172="","",M172-Settings!$B$2)</f>
        <v/>
      </c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5">
        <f>IF(M173="","",M173-Settings!$B$2)</f>
        <v/>
      </c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5">
        <f>IF(M174="","",M174-Settings!$B$2)</f>
        <v/>
      </c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5">
        <f>IF(M175="","",M175-Settings!$B$2)</f>
        <v/>
      </c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5">
        <f>IF(M176="","",M176-Settings!$B$2)</f>
        <v/>
      </c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5">
        <f>IF(M177="","",M177-Settings!$B$2)</f>
        <v/>
      </c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5">
        <f>IF(M178="","",M178-Settings!$B$2)</f>
        <v/>
      </c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5">
        <f>IF(M179="","",M179-Settings!$B$2)</f>
        <v/>
      </c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5">
        <f>IF(M180="","",M180-Settings!$B$2)</f>
        <v/>
      </c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5">
        <f>IF(M181="","",M181-Settings!$B$2)</f>
        <v/>
      </c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5">
        <f>IF(M182="","",M182-Settings!$B$2)</f>
        <v/>
      </c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5">
        <f>IF(M183="","",M183-Settings!$B$2)</f>
        <v/>
      </c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5">
        <f>IF(M184="","",M184-Settings!$B$2)</f>
        <v/>
      </c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5">
        <f>IF(M185="","",M185-Settings!$B$2)</f>
        <v/>
      </c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5">
        <f>IF(M186="","",M186-Settings!$B$2)</f>
        <v/>
      </c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5">
        <f>IF(M187="","",M187-Settings!$B$2)</f>
        <v/>
      </c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5">
        <f>IF(M188="","",M188-Settings!$B$2)</f>
        <v/>
      </c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5">
        <f>IF(M189="","",M189-Settings!$B$2)</f>
        <v/>
      </c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5">
        <f>IF(M190="","",M190-Settings!$B$2)</f>
        <v/>
      </c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5">
        <f>IF(M191="","",M191-Settings!$B$2)</f>
        <v/>
      </c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5">
        <f>IF(M192="","",M192-Settings!$B$2)</f>
        <v/>
      </c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5">
        <f>IF(M193="","",M193-Settings!$B$2)</f>
        <v/>
      </c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5">
        <f>IF(M194="","",M194-Settings!$B$2)</f>
        <v/>
      </c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5">
        <f>IF(M195="","",M195-Settings!$B$2)</f>
        <v/>
      </c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5">
        <f>IF(M196="","",M196-Settings!$B$2)</f>
        <v/>
      </c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5">
        <f>IF(M197="","",M197-Settings!$B$2)</f>
        <v/>
      </c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5">
        <f>IF(M198="","",M198-Settings!$B$2)</f>
        <v/>
      </c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5">
        <f>IF(M199="","",M199-Settings!$B$2)</f>
        <v/>
      </c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5">
        <f>IF(M200="","",M200-Settings!$B$2)</f>
        <v/>
      </c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5">
        <f>IF(M201="","",M201-Settings!$B$2)</f>
        <v/>
      </c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5">
        <f>IF(M202="","",M202-Settings!$B$2)</f>
        <v/>
      </c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5">
        <f>IF(M203="","",M203-Settings!$B$2)</f>
        <v/>
      </c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5">
        <f>IF(M204="","",M204-Settings!$B$2)</f>
        <v/>
      </c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5">
        <f>IF(M205="","",M205-Settings!$B$2)</f>
        <v/>
      </c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5">
        <f>IF(M206="","",M206-Settings!$B$2)</f>
        <v/>
      </c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5">
        <f>IF(M207="","",M207-Settings!$B$2)</f>
        <v/>
      </c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5">
        <f>IF(M208="","",M208-Settings!$B$2)</f>
        <v/>
      </c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5">
        <f>IF(M209="","",M209-Settings!$B$2)</f>
        <v/>
      </c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5">
        <f>IF(M210="","",M210-Settings!$B$2)</f>
        <v/>
      </c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5">
        <f>IF(M211="","",M211-Settings!$B$2)</f>
        <v/>
      </c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5">
        <f>IF(M212="","",M212-Settings!$B$2)</f>
        <v/>
      </c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5">
        <f>IF(M213="","",M213-Settings!$B$2)</f>
        <v/>
      </c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5">
        <f>IF(M214="","",M214-Settings!$B$2)</f>
        <v/>
      </c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5">
        <f>IF(M215="","",M215-Settings!$B$2)</f>
        <v/>
      </c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5">
        <f>IF(M216="","",M216-Settings!$B$2)</f>
        <v/>
      </c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5">
        <f>IF(M217="","",M217-Settings!$B$2)</f>
        <v/>
      </c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5">
        <f>IF(M218="","",M218-Settings!$B$2)</f>
        <v/>
      </c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5">
        <f>IF(M219="","",M219-Settings!$B$2)</f>
        <v/>
      </c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5">
        <f>IF(M220="","",M220-Settings!$B$2)</f>
        <v/>
      </c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5">
        <f>IF(M221="","",M221-Settings!$B$2)</f>
        <v/>
      </c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5">
        <f>IF(M222="","",M222-Settings!$B$2)</f>
        <v/>
      </c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5">
        <f>IF(M223="","",M223-Settings!$B$2)</f>
        <v/>
      </c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5">
        <f>IF(M224="","",M224-Settings!$B$2)</f>
        <v/>
      </c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5">
        <f>IF(M225="","",M225-Settings!$B$2)</f>
        <v/>
      </c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5">
        <f>IF(M226="","",M226-Settings!$B$2)</f>
        <v/>
      </c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5">
        <f>IF(M227="","",M227-Settings!$B$2)</f>
        <v/>
      </c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5">
        <f>IF(M228="","",M228-Settings!$B$2)</f>
        <v/>
      </c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5">
        <f>IF(M229="","",M229-Settings!$B$2)</f>
        <v/>
      </c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5">
        <f>IF(M230="","",M230-Settings!$B$2)</f>
        <v/>
      </c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5">
        <f>IF(M231="","",M231-Settings!$B$2)</f>
        <v/>
      </c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5">
        <f>IF(M232="","",M232-Settings!$B$2)</f>
        <v/>
      </c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5">
        <f>IF(M233="","",M233-Settings!$B$2)</f>
        <v/>
      </c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5">
        <f>IF(M234="","",M234-Settings!$B$2)</f>
        <v/>
      </c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5">
        <f>IF(M235="","",M235-Settings!$B$2)</f>
        <v/>
      </c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5">
        <f>IF(M236="","",M236-Settings!$B$2)</f>
        <v/>
      </c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5">
        <f>IF(M237="","",M237-Settings!$B$2)</f>
        <v/>
      </c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5">
        <f>IF(M238="","",M238-Settings!$B$2)</f>
        <v/>
      </c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5">
        <f>IF(M239="","",M239-Settings!$B$2)</f>
        <v/>
      </c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5">
        <f>IF(M240="","",M240-Settings!$B$2)</f>
        <v/>
      </c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5">
        <f>IF(M241="","",M241-Settings!$B$2)</f>
        <v/>
      </c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5">
        <f>IF(M242="","",M242-Settings!$B$2)</f>
        <v/>
      </c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5">
        <f>IF(M243="","",M243-Settings!$B$2)</f>
        <v/>
      </c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5">
        <f>IF(M244="","",M244-Settings!$B$2)</f>
        <v/>
      </c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5">
        <f>IF(M245="","",M245-Settings!$B$2)</f>
        <v/>
      </c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5">
        <f>IF(M246="","",M246-Settings!$B$2)</f>
        <v/>
      </c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5">
        <f>IF(M247="","",M247-Settings!$B$2)</f>
        <v/>
      </c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5">
        <f>IF(M248="","",M248-Settings!$B$2)</f>
        <v/>
      </c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5">
        <f>IF(M249="","",M249-Settings!$B$2)</f>
        <v/>
      </c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5">
        <f>IF(M250="","",M250-Settings!$B$2)</f>
        <v/>
      </c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5">
        <f>IF(M251="","",M251-Settings!$B$2)</f>
        <v/>
      </c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5">
        <f>IF(M252="","",M252-Settings!$B$2)</f>
        <v/>
      </c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5">
        <f>IF(M253="","",M253-Settings!$B$2)</f>
        <v/>
      </c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5">
        <f>IF(M254="","",M254-Settings!$B$2)</f>
        <v/>
      </c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5">
        <f>IF(M255="","",M255-Settings!$B$2)</f>
        <v/>
      </c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5">
        <f>IF(M256="","",M256-Settings!$B$2)</f>
        <v/>
      </c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5">
        <f>IF(M257="","",M257-Settings!$B$2)</f>
        <v/>
      </c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5">
        <f>IF(M258="","",M258-Settings!$B$2)</f>
        <v/>
      </c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5">
        <f>IF(M259="","",M259-Settings!$B$2)</f>
        <v/>
      </c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5">
        <f>IF(M260="","",M260-Settings!$B$2)</f>
        <v/>
      </c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5">
        <f>IF(M261="","",M261-Settings!$B$2)</f>
        <v/>
      </c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5">
        <f>IF(M262="","",M262-Settings!$B$2)</f>
        <v/>
      </c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5">
        <f>IF(M263="","",M263-Settings!$B$2)</f>
        <v/>
      </c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5">
        <f>IF(M264="","",M264-Settings!$B$2)</f>
        <v/>
      </c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5">
        <f>IF(M265="","",M265-Settings!$B$2)</f>
        <v/>
      </c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5">
        <f>IF(M266="","",M266-Settings!$B$2)</f>
        <v/>
      </c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5">
        <f>IF(M267="","",M267-Settings!$B$2)</f>
        <v/>
      </c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5">
        <f>IF(M268="","",M268-Settings!$B$2)</f>
        <v/>
      </c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5">
        <f>IF(M269="","",M269-Settings!$B$2)</f>
        <v/>
      </c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5">
        <f>IF(M270="","",M270-Settings!$B$2)</f>
        <v/>
      </c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5">
        <f>IF(M271="","",M271-Settings!$B$2)</f>
        <v/>
      </c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5">
        <f>IF(M272="","",M272-Settings!$B$2)</f>
        <v/>
      </c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5">
        <f>IF(M273="","",M273-Settings!$B$2)</f>
        <v/>
      </c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5">
        <f>IF(M274="","",M274-Settings!$B$2)</f>
        <v/>
      </c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5">
        <f>IF(M275="","",M275-Settings!$B$2)</f>
        <v/>
      </c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5">
        <f>IF(M276="","",M276-Settings!$B$2)</f>
        <v/>
      </c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5">
        <f>IF(M277="","",M277-Settings!$B$2)</f>
        <v/>
      </c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5">
        <f>IF(M278="","",M278-Settings!$B$2)</f>
        <v/>
      </c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5">
        <f>IF(M279="","",M279-Settings!$B$2)</f>
        <v/>
      </c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5">
        <f>IF(M280="","",M280-Settings!$B$2)</f>
        <v/>
      </c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5">
        <f>IF(M281="","",M281-Settings!$B$2)</f>
        <v/>
      </c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5">
        <f>IF(M282="","",M282-Settings!$B$2)</f>
        <v/>
      </c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5">
        <f>IF(M283="","",M283-Settings!$B$2)</f>
        <v/>
      </c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5">
        <f>IF(M284="","",M284-Settings!$B$2)</f>
        <v/>
      </c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5">
        <f>IF(M285="","",M285-Settings!$B$2)</f>
        <v/>
      </c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5">
        <f>IF(M286="","",M286-Settings!$B$2)</f>
        <v/>
      </c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5">
        <f>IF(M287="","",M287-Settings!$B$2)</f>
        <v/>
      </c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5">
        <f>IF(M288="","",M288-Settings!$B$2)</f>
        <v/>
      </c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5">
        <f>IF(M289="","",M289-Settings!$B$2)</f>
        <v/>
      </c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5">
        <f>IF(M290="","",M290-Settings!$B$2)</f>
        <v/>
      </c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5">
        <f>IF(M291="","",M291-Settings!$B$2)</f>
        <v/>
      </c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5">
        <f>IF(M292="","",M292-Settings!$B$2)</f>
        <v/>
      </c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5">
        <f>IF(M293="","",M293-Settings!$B$2)</f>
        <v/>
      </c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5">
        <f>IF(M294="","",M294-Settings!$B$2)</f>
        <v/>
      </c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5">
        <f>IF(M295="","",M295-Settings!$B$2)</f>
        <v/>
      </c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5">
        <f>IF(M296="","",M296-Settings!$B$2)</f>
        <v/>
      </c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5">
        <f>IF(M297="","",M297-Settings!$B$2)</f>
        <v/>
      </c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5">
        <f>IF(M298="","",M298-Settings!$B$2)</f>
        <v/>
      </c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5">
        <f>IF(M299="","",M299-Settings!$B$2)</f>
        <v/>
      </c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5">
        <f>IF(M300="","",M300-Settings!$B$2)</f>
        <v/>
      </c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5">
        <f>IF(M301="","",M301-Settings!$B$2)</f>
        <v/>
      </c>
    </row>
  </sheetData>
  <autoFilter ref="A1:N301"/>
  <conditionalFormatting sqref="N2:N301">
    <cfRule type="cellIs" priority="1" operator="lessThan" dxfId="0">
      <formula>0</formula>
    </cfRule>
  </conditionalFormatting>
  <conditionalFormatting sqref="J2:J301">
    <cfRule type="cellIs" priority="2" operator="equal" dxfId="1">
      <formula>"Superseded"</formula>
    </cfRule>
  </conditionalFormatting>
  <dataValidations count="2">
    <dataValidation sqref="B2:B301" showDropDown="0" showInputMessage="0" showErrorMessage="0" allowBlank="1" type="list">
      <formula1>=Lists!$A$1:$A$3</formula1>
    </dataValidation>
    <dataValidation sqref="J2:J301" showDropDown="0" showInputMessage="0" showErrorMessage="0" allowBlank="1" type="list">
      <formula1>=Lists!$B$1:$B$4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40" customWidth="1" min="4" max="4"/>
    <col width="20" customWidth="1" min="5" max="5"/>
    <col width="18" customWidth="1" min="6" max="6"/>
    <col width="12" customWidth="1" min="7" max="7"/>
    <col width="13" customWidth="1" min="8" max="8"/>
    <col width="10" customWidth="1" min="9" max="9"/>
    <col width="22" customWidth="1" min="10" max="10"/>
    <col width="40" customWidth="1" min="11" max="11"/>
    <col width="12" customWidth="1" min="12" max="12"/>
    <col width="12" customWidth="1" min="13" max="13"/>
  </cols>
  <sheetData>
    <row r="1">
      <c r="A1" s="11" t="inlineStr">
        <is>
          <t>ID</t>
        </is>
      </c>
      <c r="B1" s="11" t="inlineStr">
        <is>
          <t>Raised</t>
        </is>
      </c>
      <c r="C1" s="11" t="inlineStr">
        <is>
          <t>Deviates from</t>
        </is>
      </c>
      <c r="D1" s="11" t="inlineStr">
        <is>
          <t>Why</t>
        </is>
      </c>
      <c r="E1" s="11" t="inlineStr">
        <is>
          <t>Approved by</t>
        </is>
      </c>
      <c r="F1" s="11" t="inlineStr">
        <is>
          <t>Owner</t>
        </is>
      </c>
      <c r="G1" s="11" t="inlineStr">
        <is>
          <t>Expiry</t>
        </is>
      </c>
      <c r="H1" s="11" t="inlineStr">
        <is>
          <t>Days to expiry</t>
        </is>
      </c>
      <c r="I1" s="11" t="inlineStr">
        <is>
          <t>Renewals</t>
        </is>
      </c>
      <c r="J1" s="11" t="inlineStr">
        <is>
          <t>New reason on last renewal?</t>
        </is>
      </c>
      <c r="K1" s="11" t="inlineStr">
        <is>
          <t>Closure condition</t>
        </is>
      </c>
      <c r="L1" s="11" t="inlineStr">
        <is>
          <t>Status</t>
        </is>
      </c>
      <c r="M1" s="11" t="inlineStr">
        <is>
          <t>Closed</t>
        </is>
      </c>
    </row>
    <row r="2">
      <c r="A2" s="12" t="inlineStr">
        <is>
          <t>EXC-09</t>
        </is>
      </c>
      <c r="B2" s="13" t="n">
        <v>45565</v>
      </c>
      <c r="C2" s="12" t="inlineStr">
        <is>
          <t>No local supplier stores outside the core and the two registered registers</t>
        </is>
      </c>
      <c r="D2" s="12" t="inlineStr">
        <is>
          <t>Six-month workaround pending the onboarding service</t>
        </is>
      </c>
      <c r="E2" s="12" t="inlineStr">
        <is>
          <t>Architecture board</t>
        </is>
      </c>
      <c r="F2" s="12" t="inlineStr">
        <is>
          <t>Procurement IT</t>
        </is>
      </c>
      <c r="G2" s="13" t="n">
        <v>46112</v>
      </c>
      <c r="H2" s="12">
        <f>IF(OR(G2="",L2="Closed"),"",G2-Settings!$B$2)</f>
        <v/>
      </c>
      <c r="I2" s="12" t="n">
        <v>2</v>
      </c>
      <c r="J2" s="12" t="inlineStr">
        <is>
          <t>No</t>
        </is>
      </c>
      <c r="K2" s="12" t="inlineStr">
        <is>
          <t>Onboarding service live in this market</t>
        </is>
      </c>
      <c r="L2" s="12" t="inlineStr">
        <is>
          <t>Closed</t>
        </is>
      </c>
      <c r="M2" s="13" t="n">
        <v>46215</v>
      </c>
    </row>
    <row r="3">
      <c r="A3" s="12" t="inlineStr">
        <is>
          <t>EXC-10</t>
        </is>
      </c>
      <c r="B3" s="13" t="n">
        <v>46084</v>
      </c>
      <c r="C3" s="12" t="inlineStr">
        <is>
          <t>Contract data held only in the core</t>
        </is>
      </c>
      <c r="D3" s="12" t="inlineStr">
        <is>
          <t>Residency requirement, statutory</t>
        </is>
      </c>
      <c r="E3" s="12" t="inlineStr">
        <is>
          <t>Compliance lead</t>
        </is>
      </c>
      <c r="F3" s="12" t="inlineStr">
        <is>
          <t>Legal IT</t>
        </is>
      </c>
      <c r="G3" s="14" t="n"/>
      <c r="H3" s="12">
        <f>IF(OR(G3="",L3="Closed"),"",G3-Settings!$B$2)</f>
        <v/>
      </c>
      <c r="I3" s="14" t="n">
        <v>0</v>
      </c>
      <c r="J3" s="12" t="inlineStr">
        <is>
          <t>-</t>
        </is>
      </c>
      <c r="K3" s="12" t="inlineStr">
        <is>
          <t>Permanent - statutory</t>
        </is>
      </c>
      <c r="L3" s="12" t="inlineStr">
        <is>
          <t>Open</t>
        </is>
      </c>
      <c r="M3" s="14" t="n"/>
    </row>
    <row r="4">
      <c r="A4" s="12" t="inlineStr">
        <is>
          <t>EXC-11</t>
        </is>
      </c>
      <c r="B4" s="13" t="n">
        <v>46182</v>
      </c>
      <c r="C4" s="12" t="inlineStr">
        <is>
          <t>One system of record per object (P-01)</t>
        </is>
      </c>
      <c r="D4" s="12" t="inlineStr">
        <is>
          <t>Cutover requires dual write for eight weeks</t>
        </is>
      </c>
      <c r="E4" s="12" t="inlineStr">
        <is>
          <t>Architecture board</t>
        </is>
      </c>
      <c r="F4" s="12" t="inlineStr">
        <is>
          <t>Named architect</t>
        </is>
      </c>
      <c r="G4" s="13" t="n">
        <v>46380</v>
      </c>
      <c r="H4" s="12">
        <f>IF(OR(G4="",L4="Closed"),"",G4-Settings!$B$2)</f>
        <v/>
      </c>
      <c r="I4" s="14" t="n">
        <v>0</v>
      </c>
      <c r="J4" s="12" t="inlineStr">
        <is>
          <t>-</t>
        </is>
      </c>
      <c r="K4" s="12" t="inlineStr">
        <is>
          <t>Old write path off, confirmed by the object owner</t>
        </is>
      </c>
      <c r="L4" s="12" t="inlineStr">
        <is>
          <t>Open</t>
        </is>
      </c>
      <c r="M4" s="14" t="n"/>
    </row>
    <row r="5">
      <c r="A5" s="12" t="inlineStr">
        <is>
          <t>EXC-12</t>
        </is>
      </c>
      <c r="B5" s="13" t="n">
        <v>45874</v>
      </c>
      <c r="C5" s="12" t="inlineStr">
        <is>
          <t>Promotion mastered in the core</t>
        </is>
      </c>
      <c r="D5" s="12" t="inlineStr">
        <is>
          <t>Tool predates the programme; migration in wave three</t>
        </is>
      </c>
      <c r="E5" s="12" t="inlineStr">
        <is>
          <t>Architecture board</t>
        </is>
      </c>
      <c r="F5" s="12" t="inlineStr">
        <is>
          <t>Marketing IT</t>
        </is>
      </c>
      <c r="G5" s="13" t="n">
        <v>46142</v>
      </c>
      <c r="H5" s="12">
        <f>IF(OR(G5="",L5="Closed"),"",G5-Settings!$B$2)</f>
        <v/>
      </c>
      <c r="I5" s="12" t="n">
        <v>1</v>
      </c>
      <c r="J5" s="12" t="inlineStr">
        <is>
          <t>Yes</t>
        </is>
      </c>
      <c r="K5" s="12" t="inlineStr">
        <is>
          <t>Wave three complete</t>
        </is>
      </c>
      <c r="L5" s="12" t="inlineStr">
        <is>
          <t>Open</t>
        </is>
      </c>
      <c r="M5" s="14" t="n"/>
    </row>
    <row r="6">
      <c r="A6" s="12" t="inlineStr">
        <is>
          <t>EXC-13</t>
        </is>
      </c>
      <c r="B6" s="13" t="n">
        <v>46070</v>
      </c>
      <c r="C6" s="12" t="inlineStr">
        <is>
          <t>Every interface uses a released contract (ADR-063)</t>
        </is>
      </c>
      <c r="D6" s="12" t="inlineStr">
        <is>
          <t>Vendor has not published the API; bridge in place</t>
        </is>
      </c>
      <c r="E6" s="12" t="inlineStr">
        <is>
          <t>Design forum</t>
        </is>
      </c>
      <c r="F6" s="12" t="inlineStr">
        <is>
          <t>Integration team</t>
        </is>
      </c>
      <c r="G6" s="13" t="n">
        <v>46295</v>
      </c>
      <c r="H6" s="12">
        <f>IF(OR(G6="",L6="Closed"),"",G6-Settings!$B$2)</f>
        <v/>
      </c>
      <c r="I6" s="14" t="n">
        <v>0</v>
      </c>
      <c r="J6" s="12" t="inlineStr">
        <is>
          <t>-</t>
        </is>
      </c>
      <c r="K6" s="12" t="inlineStr">
        <is>
          <t>Vendor API published and consumed</t>
        </is>
      </c>
      <c r="L6" s="12" t="inlineStr">
        <is>
          <t>Open</t>
        </is>
      </c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5">
        <f>IF(OR(G7="",L7="Closed"),"",G7-Settings!$B$2)</f>
        <v/>
      </c>
      <c r="I7" s="14" t="n"/>
      <c r="J7" s="14" t="n"/>
      <c r="K7" s="14" t="n"/>
      <c r="L7" s="14" t="n"/>
      <c r="M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5">
        <f>IF(OR(G8="",L8="Closed"),"",G8-Settings!$B$2)</f>
        <v/>
      </c>
      <c r="I8" s="14" t="n"/>
      <c r="J8" s="14" t="n"/>
      <c r="K8" s="14" t="n"/>
      <c r="L8" s="14" t="n"/>
      <c r="M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5">
        <f>IF(OR(G9="",L9="Closed"),"",G9-Settings!$B$2)</f>
        <v/>
      </c>
      <c r="I9" s="14" t="n"/>
      <c r="J9" s="14" t="n"/>
      <c r="K9" s="14" t="n"/>
      <c r="L9" s="14" t="n"/>
      <c r="M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5">
        <f>IF(OR(G10="",L10="Closed"),"",G10-Settings!$B$2)</f>
        <v/>
      </c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5">
        <f>IF(OR(G11="",L11="Closed"),"",G11-Settings!$B$2)</f>
        <v/>
      </c>
      <c r="I11" s="14" t="n"/>
      <c r="J11" s="14" t="n"/>
      <c r="K11" s="14" t="n"/>
      <c r="L11" s="14" t="n"/>
      <c r="M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5">
        <f>IF(OR(G12="",L12="Closed"),"",G12-Settings!$B$2)</f>
        <v/>
      </c>
      <c r="I12" s="14" t="n"/>
      <c r="J12" s="14" t="n"/>
      <c r="K12" s="14" t="n"/>
      <c r="L12" s="14" t="n"/>
      <c r="M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5">
        <f>IF(OR(G13="",L13="Closed"),"",G13-Settings!$B$2)</f>
        <v/>
      </c>
      <c r="I13" s="14" t="n"/>
      <c r="J13" s="14" t="n"/>
      <c r="K13" s="14" t="n"/>
      <c r="L13" s="14" t="n"/>
      <c r="M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5">
        <f>IF(OR(G14="",L14="Closed"),"",G14-Settings!$B$2)</f>
        <v/>
      </c>
      <c r="I14" s="14" t="n"/>
      <c r="J14" s="14" t="n"/>
      <c r="K14" s="14" t="n"/>
      <c r="L14" s="14" t="n"/>
      <c r="M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5">
        <f>IF(OR(G15="",L15="Closed"),"",G15-Settings!$B$2)</f>
        <v/>
      </c>
      <c r="I15" s="14" t="n"/>
      <c r="J15" s="14" t="n"/>
      <c r="K15" s="14" t="n"/>
      <c r="L15" s="14" t="n"/>
      <c r="M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5">
        <f>IF(OR(G16="",L16="Closed"),"",G16-Settings!$B$2)</f>
        <v/>
      </c>
      <c r="I16" s="14" t="n"/>
      <c r="J16" s="14" t="n"/>
      <c r="K16" s="14" t="n"/>
      <c r="L16" s="14" t="n"/>
      <c r="M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5">
        <f>IF(OR(G17="",L17="Closed"),"",G17-Settings!$B$2)</f>
        <v/>
      </c>
      <c r="I17" s="14" t="n"/>
      <c r="J17" s="14" t="n"/>
      <c r="K17" s="14" t="n"/>
      <c r="L17" s="14" t="n"/>
      <c r="M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5">
        <f>IF(OR(G18="",L18="Closed"),"",G18-Settings!$B$2)</f>
        <v/>
      </c>
      <c r="I18" s="14" t="n"/>
      <c r="J18" s="14" t="n"/>
      <c r="K18" s="14" t="n"/>
      <c r="L18" s="14" t="n"/>
      <c r="M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5">
        <f>IF(OR(G19="",L19="Closed"),"",G19-Settings!$B$2)</f>
        <v/>
      </c>
      <c r="I19" s="14" t="n"/>
      <c r="J19" s="14" t="n"/>
      <c r="K19" s="14" t="n"/>
      <c r="L19" s="14" t="n"/>
      <c r="M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5">
        <f>IF(OR(G20="",L20="Closed"),"",G20-Settings!$B$2)</f>
        <v/>
      </c>
      <c r="I20" s="14" t="n"/>
      <c r="J20" s="14" t="n"/>
      <c r="K20" s="14" t="n"/>
      <c r="L20" s="14" t="n"/>
      <c r="M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5">
        <f>IF(OR(G21="",L21="Closed"),"",G21-Settings!$B$2)</f>
        <v/>
      </c>
      <c r="I21" s="14" t="n"/>
      <c r="J21" s="14" t="n"/>
      <c r="K21" s="14" t="n"/>
      <c r="L21" s="14" t="n"/>
      <c r="M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5">
        <f>IF(OR(G22="",L22="Closed"),"",G22-Settings!$B$2)</f>
        <v/>
      </c>
      <c r="I22" s="14" t="n"/>
      <c r="J22" s="14" t="n"/>
      <c r="K22" s="14" t="n"/>
      <c r="L22" s="14" t="n"/>
      <c r="M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5">
        <f>IF(OR(G23="",L23="Closed"),"",G23-Settings!$B$2)</f>
        <v/>
      </c>
      <c r="I23" s="14" t="n"/>
      <c r="J23" s="14" t="n"/>
      <c r="K23" s="14" t="n"/>
      <c r="L23" s="14" t="n"/>
      <c r="M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5">
        <f>IF(OR(G24="",L24="Closed"),"",G24-Settings!$B$2)</f>
        <v/>
      </c>
      <c r="I24" s="14" t="n"/>
      <c r="J24" s="14" t="n"/>
      <c r="K24" s="14" t="n"/>
      <c r="L24" s="14" t="n"/>
      <c r="M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5">
        <f>IF(OR(G25="",L25="Closed"),"",G25-Settings!$B$2)</f>
        <v/>
      </c>
      <c r="I25" s="14" t="n"/>
      <c r="J25" s="14" t="n"/>
      <c r="K25" s="14" t="n"/>
      <c r="L25" s="14" t="n"/>
      <c r="M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5">
        <f>IF(OR(G26="",L26="Closed"),"",G26-Settings!$B$2)</f>
        <v/>
      </c>
      <c r="I26" s="14" t="n"/>
      <c r="J26" s="14" t="n"/>
      <c r="K26" s="14" t="n"/>
      <c r="L26" s="14" t="n"/>
      <c r="M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5">
        <f>IF(OR(G27="",L27="Closed"),"",G27-Settings!$B$2)</f>
        <v/>
      </c>
      <c r="I27" s="14" t="n"/>
      <c r="J27" s="14" t="n"/>
      <c r="K27" s="14" t="n"/>
      <c r="L27" s="14" t="n"/>
      <c r="M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5">
        <f>IF(OR(G28="",L28="Closed"),"",G28-Settings!$B$2)</f>
        <v/>
      </c>
      <c r="I28" s="14" t="n"/>
      <c r="J28" s="14" t="n"/>
      <c r="K28" s="14" t="n"/>
      <c r="L28" s="14" t="n"/>
      <c r="M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5">
        <f>IF(OR(G29="",L29="Closed"),"",G29-Settings!$B$2)</f>
        <v/>
      </c>
      <c r="I29" s="14" t="n"/>
      <c r="J29" s="14" t="n"/>
      <c r="K29" s="14" t="n"/>
      <c r="L29" s="14" t="n"/>
      <c r="M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5">
        <f>IF(OR(G30="",L30="Closed"),"",G30-Settings!$B$2)</f>
        <v/>
      </c>
      <c r="I30" s="14" t="n"/>
      <c r="J30" s="14" t="n"/>
      <c r="K30" s="14" t="n"/>
      <c r="L30" s="14" t="n"/>
      <c r="M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5">
        <f>IF(OR(G31="",L31="Closed"),"",G31-Settings!$B$2)</f>
        <v/>
      </c>
      <c r="I31" s="14" t="n"/>
      <c r="J31" s="14" t="n"/>
      <c r="K31" s="14" t="n"/>
      <c r="L31" s="14" t="n"/>
      <c r="M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5">
        <f>IF(OR(G32="",L32="Closed"),"",G32-Settings!$B$2)</f>
        <v/>
      </c>
      <c r="I32" s="14" t="n"/>
      <c r="J32" s="14" t="n"/>
      <c r="K32" s="14" t="n"/>
      <c r="L32" s="14" t="n"/>
      <c r="M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5">
        <f>IF(OR(G33="",L33="Closed"),"",G33-Settings!$B$2)</f>
        <v/>
      </c>
      <c r="I33" s="14" t="n"/>
      <c r="J33" s="14" t="n"/>
      <c r="K33" s="14" t="n"/>
      <c r="L33" s="14" t="n"/>
      <c r="M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5">
        <f>IF(OR(G34="",L34="Closed"),"",G34-Settings!$B$2)</f>
        <v/>
      </c>
      <c r="I34" s="14" t="n"/>
      <c r="J34" s="14" t="n"/>
      <c r="K34" s="14" t="n"/>
      <c r="L34" s="14" t="n"/>
      <c r="M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5">
        <f>IF(OR(G35="",L35="Closed"),"",G35-Settings!$B$2)</f>
        <v/>
      </c>
      <c r="I35" s="14" t="n"/>
      <c r="J35" s="14" t="n"/>
      <c r="K35" s="14" t="n"/>
      <c r="L35" s="14" t="n"/>
      <c r="M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5">
        <f>IF(OR(G36="",L36="Closed"),"",G36-Settings!$B$2)</f>
        <v/>
      </c>
      <c r="I36" s="14" t="n"/>
      <c r="J36" s="14" t="n"/>
      <c r="K36" s="14" t="n"/>
      <c r="L36" s="14" t="n"/>
      <c r="M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5">
        <f>IF(OR(G37="",L37="Closed"),"",G37-Settings!$B$2)</f>
        <v/>
      </c>
      <c r="I37" s="14" t="n"/>
      <c r="J37" s="14" t="n"/>
      <c r="K37" s="14" t="n"/>
      <c r="L37" s="14" t="n"/>
      <c r="M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5">
        <f>IF(OR(G38="",L38="Closed"),"",G38-Settings!$B$2)</f>
        <v/>
      </c>
      <c r="I38" s="14" t="n"/>
      <c r="J38" s="14" t="n"/>
      <c r="K38" s="14" t="n"/>
      <c r="L38" s="14" t="n"/>
      <c r="M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5">
        <f>IF(OR(G39="",L39="Closed"),"",G39-Settings!$B$2)</f>
        <v/>
      </c>
      <c r="I39" s="14" t="n"/>
      <c r="J39" s="14" t="n"/>
      <c r="K39" s="14" t="n"/>
      <c r="L39" s="14" t="n"/>
      <c r="M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5">
        <f>IF(OR(G40="",L40="Closed"),"",G40-Settings!$B$2)</f>
        <v/>
      </c>
      <c r="I40" s="14" t="n"/>
      <c r="J40" s="14" t="n"/>
      <c r="K40" s="14" t="n"/>
      <c r="L40" s="14" t="n"/>
      <c r="M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5">
        <f>IF(OR(G41="",L41="Closed"),"",G41-Settings!$B$2)</f>
        <v/>
      </c>
      <c r="I41" s="14" t="n"/>
      <c r="J41" s="14" t="n"/>
      <c r="K41" s="14" t="n"/>
      <c r="L41" s="14" t="n"/>
      <c r="M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5">
        <f>IF(OR(G42="",L42="Closed"),"",G42-Settings!$B$2)</f>
        <v/>
      </c>
      <c r="I42" s="14" t="n"/>
      <c r="J42" s="14" t="n"/>
      <c r="K42" s="14" t="n"/>
      <c r="L42" s="14" t="n"/>
      <c r="M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5">
        <f>IF(OR(G43="",L43="Closed"),"",G43-Settings!$B$2)</f>
        <v/>
      </c>
      <c r="I43" s="14" t="n"/>
      <c r="J43" s="14" t="n"/>
      <c r="K43" s="14" t="n"/>
      <c r="L43" s="14" t="n"/>
      <c r="M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5">
        <f>IF(OR(G44="",L44="Closed"),"",G44-Settings!$B$2)</f>
        <v/>
      </c>
      <c r="I44" s="14" t="n"/>
      <c r="J44" s="14" t="n"/>
      <c r="K44" s="14" t="n"/>
      <c r="L44" s="14" t="n"/>
      <c r="M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5">
        <f>IF(OR(G45="",L45="Closed"),"",G45-Settings!$B$2)</f>
        <v/>
      </c>
      <c r="I45" s="14" t="n"/>
      <c r="J45" s="14" t="n"/>
      <c r="K45" s="14" t="n"/>
      <c r="L45" s="14" t="n"/>
      <c r="M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5">
        <f>IF(OR(G46="",L46="Closed"),"",G46-Settings!$B$2)</f>
        <v/>
      </c>
      <c r="I46" s="14" t="n"/>
      <c r="J46" s="14" t="n"/>
      <c r="K46" s="14" t="n"/>
      <c r="L46" s="14" t="n"/>
      <c r="M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5">
        <f>IF(OR(G47="",L47="Closed"),"",G47-Settings!$B$2)</f>
        <v/>
      </c>
      <c r="I47" s="14" t="n"/>
      <c r="J47" s="14" t="n"/>
      <c r="K47" s="14" t="n"/>
      <c r="L47" s="14" t="n"/>
      <c r="M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5">
        <f>IF(OR(G48="",L48="Closed"),"",G48-Settings!$B$2)</f>
        <v/>
      </c>
      <c r="I48" s="14" t="n"/>
      <c r="J48" s="14" t="n"/>
      <c r="K48" s="14" t="n"/>
      <c r="L48" s="14" t="n"/>
      <c r="M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5">
        <f>IF(OR(G49="",L49="Closed"),"",G49-Settings!$B$2)</f>
        <v/>
      </c>
      <c r="I49" s="14" t="n"/>
      <c r="J49" s="14" t="n"/>
      <c r="K49" s="14" t="n"/>
      <c r="L49" s="14" t="n"/>
      <c r="M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5">
        <f>IF(OR(G50="",L50="Closed"),"",G50-Settings!$B$2)</f>
        <v/>
      </c>
      <c r="I50" s="14" t="n"/>
      <c r="J50" s="14" t="n"/>
      <c r="K50" s="14" t="n"/>
      <c r="L50" s="14" t="n"/>
      <c r="M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5">
        <f>IF(OR(G51="",L51="Closed"),"",G51-Settings!$B$2)</f>
        <v/>
      </c>
      <c r="I51" s="14" t="n"/>
      <c r="J51" s="14" t="n"/>
      <c r="K51" s="14" t="n"/>
      <c r="L51" s="14" t="n"/>
      <c r="M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5">
        <f>IF(OR(G52="",L52="Closed"),"",G52-Settings!$B$2)</f>
        <v/>
      </c>
      <c r="I52" s="14" t="n"/>
      <c r="J52" s="14" t="n"/>
      <c r="K52" s="14" t="n"/>
      <c r="L52" s="14" t="n"/>
      <c r="M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5">
        <f>IF(OR(G53="",L53="Closed"),"",G53-Settings!$B$2)</f>
        <v/>
      </c>
      <c r="I53" s="14" t="n"/>
      <c r="J53" s="14" t="n"/>
      <c r="K53" s="14" t="n"/>
      <c r="L53" s="14" t="n"/>
      <c r="M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5">
        <f>IF(OR(G54="",L54="Closed"),"",G54-Settings!$B$2)</f>
        <v/>
      </c>
      <c r="I54" s="14" t="n"/>
      <c r="J54" s="14" t="n"/>
      <c r="K54" s="14" t="n"/>
      <c r="L54" s="14" t="n"/>
      <c r="M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5">
        <f>IF(OR(G55="",L55="Closed"),"",G55-Settings!$B$2)</f>
        <v/>
      </c>
      <c r="I55" s="14" t="n"/>
      <c r="J55" s="14" t="n"/>
      <c r="K55" s="14" t="n"/>
      <c r="L55" s="14" t="n"/>
      <c r="M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5">
        <f>IF(OR(G56="",L56="Closed"),"",G56-Settings!$B$2)</f>
        <v/>
      </c>
      <c r="I56" s="14" t="n"/>
      <c r="J56" s="14" t="n"/>
      <c r="K56" s="14" t="n"/>
      <c r="L56" s="14" t="n"/>
      <c r="M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5">
        <f>IF(OR(G57="",L57="Closed"),"",G57-Settings!$B$2)</f>
        <v/>
      </c>
      <c r="I57" s="14" t="n"/>
      <c r="J57" s="14" t="n"/>
      <c r="K57" s="14" t="n"/>
      <c r="L57" s="14" t="n"/>
      <c r="M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5">
        <f>IF(OR(G58="",L58="Closed"),"",G58-Settings!$B$2)</f>
        <v/>
      </c>
      <c r="I58" s="14" t="n"/>
      <c r="J58" s="14" t="n"/>
      <c r="K58" s="14" t="n"/>
      <c r="L58" s="14" t="n"/>
      <c r="M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5">
        <f>IF(OR(G59="",L59="Closed"),"",G59-Settings!$B$2)</f>
        <v/>
      </c>
      <c r="I59" s="14" t="n"/>
      <c r="J59" s="14" t="n"/>
      <c r="K59" s="14" t="n"/>
      <c r="L59" s="14" t="n"/>
      <c r="M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5">
        <f>IF(OR(G60="",L60="Closed"),"",G60-Settings!$B$2)</f>
        <v/>
      </c>
      <c r="I60" s="14" t="n"/>
      <c r="J60" s="14" t="n"/>
      <c r="K60" s="14" t="n"/>
      <c r="L60" s="14" t="n"/>
      <c r="M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5">
        <f>IF(OR(G61="",L61="Closed"),"",G61-Settings!$B$2)</f>
        <v/>
      </c>
      <c r="I61" s="14" t="n"/>
      <c r="J61" s="14" t="n"/>
      <c r="K61" s="14" t="n"/>
      <c r="L61" s="14" t="n"/>
      <c r="M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5">
        <f>IF(OR(G62="",L62="Closed"),"",G62-Settings!$B$2)</f>
        <v/>
      </c>
      <c r="I62" s="14" t="n"/>
      <c r="J62" s="14" t="n"/>
      <c r="K62" s="14" t="n"/>
      <c r="L62" s="14" t="n"/>
      <c r="M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5">
        <f>IF(OR(G63="",L63="Closed"),"",G63-Settings!$B$2)</f>
        <v/>
      </c>
      <c r="I63" s="14" t="n"/>
      <c r="J63" s="14" t="n"/>
      <c r="K63" s="14" t="n"/>
      <c r="L63" s="14" t="n"/>
      <c r="M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5">
        <f>IF(OR(G64="",L64="Closed"),"",G64-Settings!$B$2)</f>
        <v/>
      </c>
      <c r="I64" s="14" t="n"/>
      <c r="J64" s="14" t="n"/>
      <c r="K64" s="14" t="n"/>
      <c r="L64" s="14" t="n"/>
      <c r="M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5">
        <f>IF(OR(G65="",L65="Closed"),"",G65-Settings!$B$2)</f>
        <v/>
      </c>
      <c r="I65" s="14" t="n"/>
      <c r="J65" s="14" t="n"/>
      <c r="K65" s="14" t="n"/>
      <c r="L65" s="14" t="n"/>
      <c r="M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5">
        <f>IF(OR(G66="",L66="Closed"),"",G66-Settings!$B$2)</f>
        <v/>
      </c>
      <c r="I66" s="14" t="n"/>
      <c r="J66" s="14" t="n"/>
      <c r="K66" s="14" t="n"/>
      <c r="L66" s="14" t="n"/>
      <c r="M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5">
        <f>IF(OR(G67="",L67="Closed"),"",G67-Settings!$B$2)</f>
        <v/>
      </c>
      <c r="I67" s="14" t="n"/>
      <c r="J67" s="14" t="n"/>
      <c r="K67" s="14" t="n"/>
      <c r="L67" s="14" t="n"/>
      <c r="M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5">
        <f>IF(OR(G68="",L68="Closed"),"",G68-Settings!$B$2)</f>
        <v/>
      </c>
      <c r="I68" s="14" t="n"/>
      <c r="J68" s="14" t="n"/>
      <c r="K68" s="14" t="n"/>
      <c r="L68" s="14" t="n"/>
      <c r="M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5">
        <f>IF(OR(G69="",L69="Closed"),"",G69-Settings!$B$2)</f>
        <v/>
      </c>
      <c r="I69" s="14" t="n"/>
      <c r="J69" s="14" t="n"/>
      <c r="K69" s="14" t="n"/>
      <c r="L69" s="14" t="n"/>
      <c r="M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5">
        <f>IF(OR(G70="",L70="Closed"),"",G70-Settings!$B$2)</f>
        <v/>
      </c>
      <c r="I70" s="14" t="n"/>
      <c r="J70" s="14" t="n"/>
      <c r="K70" s="14" t="n"/>
      <c r="L70" s="14" t="n"/>
      <c r="M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5">
        <f>IF(OR(G71="",L71="Closed"),"",G71-Settings!$B$2)</f>
        <v/>
      </c>
      <c r="I71" s="14" t="n"/>
      <c r="J71" s="14" t="n"/>
      <c r="K71" s="14" t="n"/>
      <c r="L71" s="14" t="n"/>
      <c r="M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5">
        <f>IF(OR(G72="",L72="Closed"),"",G72-Settings!$B$2)</f>
        <v/>
      </c>
      <c r="I72" s="14" t="n"/>
      <c r="J72" s="14" t="n"/>
      <c r="K72" s="14" t="n"/>
      <c r="L72" s="14" t="n"/>
      <c r="M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5">
        <f>IF(OR(G73="",L73="Closed"),"",G73-Settings!$B$2)</f>
        <v/>
      </c>
      <c r="I73" s="14" t="n"/>
      <c r="J73" s="14" t="n"/>
      <c r="K73" s="14" t="n"/>
      <c r="L73" s="14" t="n"/>
      <c r="M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5">
        <f>IF(OR(G74="",L74="Closed"),"",G74-Settings!$B$2)</f>
        <v/>
      </c>
      <c r="I74" s="14" t="n"/>
      <c r="J74" s="14" t="n"/>
      <c r="K74" s="14" t="n"/>
      <c r="L74" s="14" t="n"/>
      <c r="M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5">
        <f>IF(OR(G75="",L75="Closed"),"",G75-Settings!$B$2)</f>
        <v/>
      </c>
      <c r="I75" s="14" t="n"/>
      <c r="J75" s="14" t="n"/>
      <c r="K75" s="14" t="n"/>
      <c r="L75" s="14" t="n"/>
      <c r="M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5">
        <f>IF(OR(G76="",L76="Closed"),"",G76-Settings!$B$2)</f>
        <v/>
      </c>
      <c r="I76" s="14" t="n"/>
      <c r="J76" s="14" t="n"/>
      <c r="K76" s="14" t="n"/>
      <c r="L76" s="14" t="n"/>
      <c r="M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5">
        <f>IF(OR(G77="",L77="Closed"),"",G77-Settings!$B$2)</f>
        <v/>
      </c>
      <c r="I77" s="14" t="n"/>
      <c r="J77" s="14" t="n"/>
      <c r="K77" s="14" t="n"/>
      <c r="L77" s="14" t="n"/>
      <c r="M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5">
        <f>IF(OR(G78="",L78="Closed"),"",G78-Settings!$B$2)</f>
        <v/>
      </c>
      <c r="I78" s="14" t="n"/>
      <c r="J78" s="14" t="n"/>
      <c r="K78" s="14" t="n"/>
      <c r="L78" s="14" t="n"/>
      <c r="M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5">
        <f>IF(OR(G79="",L79="Closed"),"",G79-Settings!$B$2)</f>
        <v/>
      </c>
      <c r="I79" s="14" t="n"/>
      <c r="J79" s="14" t="n"/>
      <c r="K79" s="14" t="n"/>
      <c r="L79" s="14" t="n"/>
      <c r="M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5">
        <f>IF(OR(G80="",L80="Closed"),"",G80-Settings!$B$2)</f>
        <v/>
      </c>
      <c r="I80" s="14" t="n"/>
      <c r="J80" s="14" t="n"/>
      <c r="K80" s="14" t="n"/>
      <c r="L80" s="14" t="n"/>
      <c r="M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5">
        <f>IF(OR(G81="",L81="Closed"),"",G81-Settings!$B$2)</f>
        <v/>
      </c>
      <c r="I81" s="14" t="n"/>
      <c r="J81" s="14" t="n"/>
      <c r="K81" s="14" t="n"/>
      <c r="L81" s="14" t="n"/>
      <c r="M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5">
        <f>IF(OR(G82="",L82="Closed"),"",G82-Settings!$B$2)</f>
        <v/>
      </c>
      <c r="I82" s="14" t="n"/>
      <c r="J82" s="14" t="n"/>
      <c r="K82" s="14" t="n"/>
      <c r="L82" s="14" t="n"/>
      <c r="M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5">
        <f>IF(OR(G83="",L83="Closed"),"",G83-Settings!$B$2)</f>
        <v/>
      </c>
      <c r="I83" s="14" t="n"/>
      <c r="J83" s="14" t="n"/>
      <c r="K83" s="14" t="n"/>
      <c r="L83" s="14" t="n"/>
      <c r="M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5">
        <f>IF(OR(G84="",L84="Closed"),"",G84-Settings!$B$2)</f>
        <v/>
      </c>
      <c r="I84" s="14" t="n"/>
      <c r="J84" s="14" t="n"/>
      <c r="K84" s="14" t="n"/>
      <c r="L84" s="14" t="n"/>
      <c r="M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5">
        <f>IF(OR(G85="",L85="Closed"),"",G85-Settings!$B$2)</f>
        <v/>
      </c>
      <c r="I85" s="14" t="n"/>
      <c r="J85" s="14" t="n"/>
      <c r="K85" s="14" t="n"/>
      <c r="L85" s="14" t="n"/>
      <c r="M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5">
        <f>IF(OR(G86="",L86="Closed"),"",G86-Settings!$B$2)</f>
        <v/>
      </c>
      <c r="I86" s="14" t="n"/>
      <c r="J86" s="14" t="n"/>
      <c r="K86" s="14" t="n"/>
      <c r="L86" s="14" t="n"/>
      <c r="M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5">
        <f>IF(OR(G87="",L87="Closed"),"",G87-Settings!$B$2)</f>
        <v/>
      </c>
      <c r="I87" s="14" t="n"/>
      <c r="J87" s="14" t="n"/>
      <c r="K87" s="14" t="n"/>
      <c r="L87" s="14" t="n"/>
      <c r="M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5">
        <f>IF(OR(G88="",L88="Closed"),"",G88-Settings!$B$2)</f>
        <v/>
      </c>
      <c r="I88" s="14" t="n"/>
      <c r="J88" s="14" t="n"/>
      <c r="K88" s="14" t="n"/>
      <c r="L88" s="14" t="n"/>
      <c r="M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5">
        <f>IF(OR(G89="",L89="Closed"),"",G89-Settings!$B$2)</f>
        <v/>
      </c>
      <c r="I89" s="14" t="n"/>
      <c r="J89" s="14" t="n"/>
      <c r="K89" s="14" t="n"/>
      <c r="L89" s="14" t="n"/>
      <c r="M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5">
        <f>IF(OR(G90="",L90="Closed"),"",G90-Settings!$B$2)</f>
        <v/>
      </c>
      <c r="I90" s="14" t="n"/>
      <c r="J90" s="14" t="n"/>
      <c r="K90" s="14" t="n"/>
      <c r="L90" s="14" t="n"/>
      <c r="M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5">
        <f>IF(OR(G91="",L91="Closed"),"",G91-Settings!$B$2)</f>
        <v/>
      </c>
      <c r="I91" s="14" t="n"/>
      <c r="J91" s="14" t="n"/>
      <c r="K91" s="14" t="n"/>
      <c r="L91" s="14" t="n"/>
      <c r="M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5">
        <f>IF(OR(G92="",L92="Closed"),"",G92-Settings!$B$2)</f>
        <v/>
      </c>
      <c r="I92" s="14" t="n"/>
      <c r="J92" s="14" t="n"/>
      <c r="K92" s="14" t="n"/>
      <c r="L92" s="14" t="n"/>
      <c r="M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5">
        <f>IF(OR(G93="",L93="Closed"),"",G93-Settings!$B$2)</f>
        <v/>
      </c>
      <c r="I93" s="14" t="n"/>
      <c r="J93" s="14" t="n"/>
      <c r="K93" s="14" t="n"/>
      <c r="L93" s="14" t="n"/>
      <c r="M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5">
        <f>IF(OR(G94="",L94="Closed"),"",G94-Settings!$B$2)</f>
        <v/>
      </c>
      <c r="I94" s="14" t="n"/>
      <c r="J94" s="14" t="n"/>
      <c r="K94" s="14" t="n"/>
      <c r="L94" s="14" t="n"/>
      <c r="M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5">
        <f>IF(OR(G95="",L95="Closed"),"",G95-Settings!$B$2)</f>
        <v/>
      </c>
      <c r="I95" s="14" t="n"/>
      <c r="J95" s="14" t="n"/>
      <c r="K95" s="14" t="n"/>
      <c r="L95" s="14" t="n"/>
      <c r="M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5">
        <f>IF(OR(G96="",L96="Closed"),"",G96-Settings!$B$2)</f>
        <v/>
      </c>
      <c r="I96" s="14" t="n"/>
      <c r="J96" s="14" t="n"/>
      <c r="K96" s="14" t="n"/>
      <c r="L96" s="14" t="n"/>
      <c r="M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5">
        <f>IF(OR(G97="",L97="Closed"),"",G97-Settings!$B$2)</f>
        <v/>
      </c>
      <c r="I97" s="14" t="n"/>
      <c r="J97" s="14" t="n"/>
      <c r="K97" s="14" t="n"/>
      <c r="L97" s="14" t="n"/>
      <c r="M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5">
        <f>IF(OR(G98="",L98="Closed"),"",G98-Settings!$B$2)</f>
        <v/>
      </c>
      <c r="I98" s="14" t="n"/>
      <c r="J98" s="14" t="n"/>
      <c r="K98" s="14" t="n"/>
      <c r="L98" s="14" t="n"/>
      <c r="M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5">
        <f>IF(OR(G99="",L99="Closed"),"",G99-Settings!$B$2)</f>
        <v/>
      </c>
      <c r="I99" s="14" t="n"/>
      <c r="J99" s="14" t="n"/>
      <c r="K99" s="14" t="n"/>
      <c r="L99" s="14" t="n"/>
      <c r="M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5">
        <f>IF(OR(G100="",L100="Closed"),"",G100-Settings!$B$2)</f>
        <v/>
      </c>
      <c r="I100" s="14" t="n"/>
      <c r="J100" s="14" t="n"/>
      <c r="K100" s="14" t="n"/>
      <c r="L100" s="14" t="n"/>
      <c r="M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5">
        <f>IF(OR(G101="",L101="Closed"),"",G101-Settings!$B$2)</f>
        <v/>
      </c>
      <c r="I101" s="14" t="n"/>
      <c r="J101" s="14" t="n"/>
      <c r="K101" s="14" t="n"/>
      <c r="L101" s="14" t="n"/>
      <c r="M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5">
        <f>IF(OR(G102="",L102="Closed"),"",G102-Settings!$B$2)</f>
        <v/>
      </c>
      <c r="I102" s="14" t="n"/>
      <c r="J102" s="14" t="n"/>
      <c r="K102" s="14" t="n"/>
      <c r="L102" s="14" t="n"/>
      <c r="M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5">
        <f>IF(OR(G103="",L103="Closed"),"",G103-Settings!$B$2)</f>
        <v/>
      </c>
      <c r="I103" s="14" t="n"/>
      <c r="J103" s="14" t="n"/>
      <c r="K103" s="14" t="n"/>
      <c r="L103" s="14" t="n"/>
      <c r="M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5">
        <f>IF(OR(G104="",L104="Closed"),"",G104-Settings!$B$2)</f>
        <v/>
      </c>
      <c r="I104" s="14" t="n"/>
      <c r="J104" s="14" t="n"/>
      <c r="K104" s="14" t="n"/>
      <c r="L104" s="14" t="n"/>
      <c r="M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5">
        <f>IF(OR(G105="",L105="Closed"),"",G105-Settings!$B$2)</f>
        <v/>
      </c>
      <c r="I105" s="14" t="n"/>
      <c r="J105" s="14" t="n"/>
      <c r="K105" s="14" t="n"/>
      <c r="L105" s="14" t="n"/>
      <c r="M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5">
        <f>IF(OR(G106="",L106="Closed"),"",G106-Settings!$B$2)</f>
        <v/>
      </c>
      <c r="I106" s="14" t="n"/>
      <c r="J106" s="14" t="n"/>
      <c r="K106" s="14" t="n"/>
      <c r="L106" s="14" t="n"/>
      <c r="M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5">
        <f>IF(OR(G107="",L107="Closed"),"",G107-Settings!$B$2)</f>
        <v/>
      </c>
      <c r="I107" s="14" t="n"/>
      <c r="J107" s="14" t="n"/>
      <c r="K107" s="14" t="n"/>
      <c r="L107" s="14" t="n"/>
      <c r="M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5">
        <f>IF(OR(G108="",L108="Closed"),"",G108-Settings!$B$2)</f>
        <v/>
      </c>
      <c r="I108" s="14" t="n"/>
      <c r="J108" s="14" t="n"/>
      <c r="K108" s="14" t="n"/>
      <c r="L108" s="14" t="n"/>
      <c r="M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5">
        <f>IF(OR(G109="",L109="Closed"),"",G109-Settings!$B$2)</f>
        <v/>
      </c>
      <c r="I109" s="14" t="n"/>
      <c r="J109" s="14" t="n"/>
      <c r="K109" s="14" t="n"/>
      <c r="L109" s="14" t="n"/>
      <c r="M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5">
        <f>IF(OR(G110="",L110="Closed"),"",G110-Settings!$B$2)</f>
        <v/>
      </c>
      <c r="I110" s="14" t="n"/>
      <c r="J110" s="14" t="n"/>
      <c r="K110" s="14" t="n"/>
      <c r="L110" s="14" t="n"/>
      <c r="M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5">
        <f>IF(OR(G111="",L111="Closed"),"",G111-Settings!$B$2)</f>
        <v/>
      </c>
      <c r="I111" s="14" t="n"/>
      <c r="J111" s="14" t="n"/>
      <c r="K111" s="14" t="n"/>
      <c r="L111" s="14" t="n"/>
      <c r="M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5">
        <f>IF(OR(G112="",L112="Closed"),"",G112-Settings!$B$2)</f>
        <v/>
      </c>
      <c r="I112" s="14" t="n"/>
      <c r="J112" s="14" t="n"/>
      <c r="K112" s="14" t="n"/>
      <c r="L112" s="14" t="n"/>
      <c r="M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5">
        <f>IF(OR(G113="",L113="Closed"),"",G113-Settings!$B$2)</f>
        <v/>
      </c>
      <c r="I113" s="14" t="n"/>
      <c r="J113" s="14" t="n"/>
      <c r="K113" s="14" t="n"/>
      <c r="L113" s="14" t="n"/>
      <c r="M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5">
        <f>IF(OR(G114="",L114="Closed"),"",G114-Settings!$B$2)</f>
        <v/>
      </c>
      <c r="I114" s="14" t="n"/>
      <c r="J114" s="14" t="n"/>
      <c r="K114" s="14" t="n"/>
      <c r="L114" s="14" t="n"/>
      <c r="M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5">
        <f>IF(OR(G115="",L115="Closed"),"",G115-Settings!$B$2)</f>
        <v/>
      </c>
      <c r="I115" s="14" t="n"/>
      <c r="J115" s="14" t="n"/>
      <c r="K115" s="14" t="n"/>
      <c r="L115" s="14" t="n"/>
      <c r="M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5">
        <f>IF(OR(G116="",L116="Closed"),"",G116-Settings!$B$2)</f>
        <v/>
      </c>
      <c r="I116" s="14" t="n"/>
      <c r="J116" s="14" t="n"/>
      <c r="K116" s="14" t="n"/>
      <c r="L116" s="14" t="n"/>
      <c r="M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5">
        <f>IF(OR(G117="",L117="Closed"),"",G117-Settings!$B$2)</f>
        <v/>
      </c>
      <c r="I117" s="14" t="n"/>
      <c r="J117" s="14" t="n"/>
      <c r="K117" s="14" t="n"/>
      <c r="L117" s="14" t="n"/>
      <c r="M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5">
        <f>IF(OR(G118="",L118="Closed"),"",G118-Settings!$B$2)</f>
        <v/>
      </c>
      <c r="I118" s="14" t="n"/>
      <c r="J118" s="14" t="n"/>
      <c r="K118" s="14" t="n"/>
      <c r="L118" s="14" t="n"/>
      <c r="M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5">
        <f>IF(OR(G119="",L119="Closed"),"",G119-Settings!$B$2)</f>
        <v/>
      </c>
      <c r="I119" s="14" t="n"/>
      <c r="J119" s="14" t="n"/>
      <c r="K119" s="14" t="n"/>
      <c r="L119" s="14" t="n"/>
      <c r="M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5">
        <f>IF(OR(G120="",L120="Closed"),"",G120-Settings!$B$2)</f>
        <v/>
      </c>
      <c r="I120" s="14" t="n"/>
      <c r="J120" s="14" t="n"/>
      <c r="K120" s="14" t="n"/>
      <c r="L120" s="14" t="n"/>
      <c r="M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5">
        <f>IF(OR(G121="",L121="Closed"),"",G121-Settings!$B$2)</f>
        <v/>
      </c>
      <c r="I121" s="14" t="n"/>
      <c r="J121" s="14" t="n"/>
      <c r="K121" s="14" t="n"/>
      <c r="L121" s="14" t="n"/>
      <c r="M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5">
        <f>IF(OR(G122="",L122="Closed"),"",G122-Settings!$B$2)</f>
        <v/>
      </c>
      <c r="I122" s="14" t="n"/>
      <c r="J122" s="14" t="n"/>
      <c r="K122" s="14" t="n"/>
      <c r="L122" s="14" t="n"/>
      <c r="M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5">
        <f>IF(OR(G123="",L123="Closed"),"",G123-Settings!$B$2)</f>
        <v/>
      </c>
      <c r="I123" s="14" t="n"/>
      <c r="J123" s="14" t="n"/>
      <c r="K123" s="14" t="n"/>
      <c r="L123" s="14" t="n"/>
      <c r="M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5">
        <f>IF(OR(G124="",L124="Closed"),"",G124-Settings!$B$2)</f>
        <v/>
      </c>
      <c r="I124" s="14" t="n"/>
      <c r="J124" s="14" t="n"/>
      <c r="K124" s="14" t="n"/>
      <c r="L124" s="14" t="n"/>
      <c r="M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5">
        <f>IF(OR(G125="",L125="Closed"),"",G125-Settings!$B$2)</f>
        <v/>
      </c>
      <c r="I125" s="14" t="n"/>
      <c r="J125" s="14" t="n"/>
      <c r="K125" s="14" t="n"/>
      <c r="L125" s="14" t="n"/>
      <c r="M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5">
        <f>IF(OR(G126="",L126="Closed"),"",G126-Settings!$B$2)</f>
        <v/>
      </c>
      <c r="I126" s="14" t="n"/>
      <c r="J126" s="14" t="n"/>
      <c r="K126" s="14" t="n"/>
      <c r="L126" s="14" t="n"/>
      <c r="M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5">
        <f>IF(OR(G127="",L127="Closed"),"",G127-Settings!$B$2)</f>
        <v/>
      </c>
      <c r="I127" s="14" t="n"/>
      <c r="J127" s="14" t="n"/>
      <c r="K127" s="14" t="n"/>
      <c r="L127" s="14" t="n"/>
      <c r="M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5">
        <f>IF(OR(G128="",L128="Closed"),"",G128-Settings!$B$2)</f>
        <v/>
      </c>
      <c r="I128" s="14" t="n"/>
      <c r="J128" s="14" t="n"/>
      <c r="K128" s="14" t="n"/>
      <c r="L128" s="14" t="n"/>
      <c r="M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5">
        <f>IF(OR(G129="",L129="Closed"),"",G129-Settings!$B$2)</f>
        <v/>
      </c>
      <c r="I129" s="14" t="n"/>
      <c r="J129" s="14" t="n"/>
      <c r="K129" s="14" t="n"/>
      <c r="L129" s="14" t="n"/>
      <c r="M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5">
        <f>IF(OR(G130="",L130="Closed"),"",G130-Settings!$B$2)</f>
        <v/>
      </c>
      <c r="I130" s="14" t="n"/>
      <c r="J130" s="14" t="n"/>
      <c r="K130" s="14" t="n"/>
      <c r="L130" s="14" t="n"/>
      <c r="M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5">
        <f>IF(OR(G131="",L131="Closed"),"",G131-Settings!$B$2)</f>
        <v/>
      </c>
      <c r="I131" s="14" t="n"/>
      <c r="J131" s="14" t="n"/>
      <c r="K131" s="14" t="n"/>
      <c r="L131" s="14" t="n"/>
      <c r="M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5">
        <f>IF(OR(G132="",L132="Closed"),"",G132-Settings!$B$2)</f>
        <v/>
      </c>
      <c r="I132" s="14" t="n"/>
      <c r="J132" s="14" t="n"/>
      <c r="K132" s="14" t="n"/>
      <c r="L132" s="14" t="n"/>
      <c r="M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5">
        <f>IF(OR(G133="",L133="Closed"),"",G133-Settings!$B$2)</f>
        <v/>
      </c>
      <c r="I133" s="14" t="n"/>
      <c r="J133" s="14" t="n"/>
      <c r="K133" s="14" t="n"/>
      <c r="L133" s="14" t="n"/>
      <c r="M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5">
        <f>IF(OR(G134="",L134="Closed"),"",G134-Settings!$B$2)</f>
        <v/>
      </c>
      <c r="I134" s="14" t="n"/>
      <c r="J134" s="14" t="n"/>
      <c r="K134" s="14" t="n"/>
      <c r="L134" s="14" t="n"/>
      <c r="M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5">
        <f>IF(OR(G135="",L135="Closed"),"",G135-Settings!$B$2)</f>
        <v/>
      </c>
      <c r="I135" s="14" t="n"/>
      <c r="J135" s="14" t="n"/>
      <c r="K135" s="14" t="n"/>
      <c r="L135" s="14" t="n"/>
      <c r="M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5">
        <f>IF(OR(G136="",L136="Closed"),"",G136-Settings!$B$2)</f>
        <v/>
      </c>
      <c r="I136" s="14" t="n"/>
      <c r="J136" s="14" t="n"/>
      <c r="K136" s="14" t="n"/>
      <c r="L136" s="14" t="n"/>
      <c r="M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5">
        <f>IF(OR(G137="",L137="Closed"),"",G137-Settings!$B$2)</f>
        <v/>
      </c>
      <c r="I137" s="14" t="n"/>
      <c r="J137" s="14" t="n"/>
      <c r="K137" s="14" t="n"/>
      <c r="L137" s="14" t="n"/>
      <c r="M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5">
        <f>IF(OR(G138="",L138="Closed"),"",G138-Settings!$B$2)</f>
        <v/>
      </c>
      <c r="I138" s="14" t="n"/>
      <c r="J138" s="14" t="n"/>
      <c r="K138" s="14" t="n"/>
      <c r="L138" s="14" t="n"/>
      <c r="M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5">
        <f>IF(OR(G139="",L139="Closed"),"",G139-Settings!$B$2)</f>
        <v/>
      </c>
      <c r="I139" s="14" t="n"/>
      <c r="J139" s="14" t="n"/>
      <c r="K139" s="14" t="n"/>
      <c r="L139" s="14" t="n"/>
      <c r="M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5">
        <f>IF(OR(G140="",L140="Closed"),"",G140-Settings!$B$2)</f>
        <v/>
      </c>
      <c r="I140" s="14" t="n"/>
      <c r="J140" s="14" t="n"/>
      <c r="K140" s="14" t="n"/>
      <c r="L140" s="14" t="n"/>
      <c r="M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5">
        <f>IF(OR(G141="",L141="Closed"),"",G141-Settings!$B$2)</f>
        <v/>
      </c>
      <c r="I141" s="14" t="n"/>
      <c r="J141" s="14" t="n"/>
      <c r="K141" s="14" t="n"/>
      <c r="L141" s="14" t="n"/>
      <c r="M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5">
        <f>IF(OR(G142="",L142="Closed"),"",G142-Settings!$B$2)</f>
        <v/>
      </c>
      <c r="I142" s="14" t="n"/>
      <c r="J142" s="14" t="n"/>
      <c r="K142" s="14" t="n"/>
      <c r="L142" s="14" t="n"/>
      <c r="M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5">
        <f>IF(OR(G143="",L143="Closed"),"",G143-Settings!$B$2)</f>
        <v/>
      </c>
      <c r="I143" s="14" t="n"/>
      <c r="J143" s="14" t="n"/>
      <c r="K143" s="14" t="n"/>
      <c r="L143" s="14" t="n"/>
      <c r="M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5">
        <f>IF(OR(G144="",L144="Closed"),"",G144-Settings!$B$2)</f>
        <v/>
      </c>
      <c r="I144" s="14" t="n"/>
      <c r="J144" s="14" t="n"/>
      <c r="K144" s="14" t="n"/>
      <c r="L144" s="14" t="n"/>
      <c r="M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5">
        <f>IF(OR(G145="",L145="Closed"),"",G145-Settings!$B$2)</f>
        <v/>
      </c>
      <c r="I145" s="14" t="n"/>
      <c r="J145" s="14" t="n"/>
      <c r="K145" s="14" t="n"/>
      <c r="L145" s="14" t="n"/>
      <c r="M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5">
        <f>IF(OR(G146="",L146="Closed"),"",G146-Settings!$B$2)</f>
        <v/>
      </c>
      <c r="I146" s="14" t="n"/>
      <c r="J146" s="14" t="n"/>
      <c r="K146" s="14" t="n"/>
      <c r="L146" s="14" t="n"/>
      <c r="M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5">
        <f>IF(OR(G147="",L147="Closed"),"",G147-Settings!$B$2)</f>
        <v/>
      </c>
      <c r="I147" s="14" t="n"/>
      <c r="J147" s="14" t="n"/>
      <c r="K147" s="14" t="n"/>
      <c r="L147" s="14" t="n"/>
      <c r="M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5">
        <f>IF(OR(G148="",L148="Closed"),"",G148-Settings!$B$2)</f>
        <v/>
      </c>
      <c r="I148" s="14" t="n"/>
      <c r="J148" s="14" t="n"/>
      <c r="K148" s="14" t="n"/>
      <c r="L148" s="14" t="n"/>
      <c r="M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5">
        <f>IF(OR(G149="",L149="Closed"),"",G149-Settings!$B$2)</f>
        <v/>
      </c>
      <c r="I149" s="14" t="n"/>
      <c r="J149" s="14" t="n"/>
      <c r="K149" s="14" t="n"/>
      <c r="L149" s="14" t="n"/>
      <c r="M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5">
        <f>IF(OR(G150="",L150="Closed"),"",G150-Settings!$B$2)</f>
        <v/>
      </c>
      <c r="I150" s="14" t="n"/>
      <c r="J150" s="14" t="n"/>
      <c r="K150" s="14" t="n"/>
      <c r="L150" s="14" t="n"/>
      <c r="M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5">
        <f>IF(OR(G151="",L151="Closed"),"",G151-Settings!$B$2)</f>
        <v/>
      </c>
      <c r="I151" s="14" t="n"/>
      <c r="J151" s="14" t="n"/>
      <c r="K151" s="14" t="n"/>
      <c r="L151" s="14" t="n"/>
      <c r="M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5">
        <f>IF(OR(G152="",L152="Closed"),"",G152-Settings!$B$2)</f>
        <v/>
      </c>
      <c r="I152" s="14" t="n"/>
      <c r="J152" s="14" t="n"/>
      <c r="K152" s="14" t="n"/>
      <c r="L152" s="14" t="n"/>
      <c r="M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5">
        <f>IF(OR(G153="",L153="Closed"),"",G153-Settings!$B$2)</f>
        <v/>
      </c>
      <c r="I153" s="14" t="n"/>
      <c r="J153" s="14" t="n"/>
      <c r="K153" s="14" t="n"/>
      <c r="L153" s="14" t="n"/>
      <c r="M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5">
        <f>IF(OR(G154="",L154="Closed"),"",G154-Settings!$B$2)</f>
        <v/>
      </c>
      <c r="I154" s="14" t="n"/>
      <c r="J154" s="14" t="n"/>
      <c r="K154" s="14" t="n"/>
      <c r="L154" s="14" t="n"/>
      <c r="M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5">
        <f>IF(OR(G155="",L155="Closed"),"",G155-Settings!$B$2)</f>
        <v/>
      </c>
      <c r="I155" s="14" t="n"/>
      <c r="J155" s="14" t="n"/>
      <c r="K155" s="14" t="n"/>
      <c r="L155" s="14" t="n"/>
      <c r="M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5">
        <f>IF(OR(G156="",L156="Closed"),"",G156-Settings!$B$2)</f>
        <v/>
      </c>
      <c r="I156" s="14" t="n"/>
      <c r="J156" s="14" t="n"/>
      <c r="K156" s="14" t="n"/>
      <c r="L156" s="14" t="n"/>
      <c r="M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5">
        <f>IF(OR(G157="",L157="Closed"),"",G157-Settings!$B$2)</f>
        <v/>
      </c>
      <c r="I157" s="14" t="n"/>
      <c r="J157" s="14" t="n"/>
      <c r="K157" s="14" t="n"/>
      <c r="L157" s="14" t="n"/>
      <c r="M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5">
        <f>IF(OR(G158="",L158="Closed"),"",G158-Settings!$B$2)</f>
        <v/>
      </c>
      <c r="I158" s="14" t="n"/>
      <c r="J158" s="14" t="n"/>
      <c r="K158" s="14" t="n"/>
      <c r="L158" s="14" t="n"/>
      <c r="M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5">
        <f>IF(OR(G159="",L159="Closed"),"",G159-Settings!$B$2)</f>
        <v/>
      </c>
      <c r="I159" s="14" t="n"/>
      <c r="J159" s="14" t="n"/>
      <c r="K159" s="14" t="n"/>
      <c r="L159" s="14" t="n"/>
      <c r="M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5">
        <f>IF(OR(G160="",L160="Closed"),"",G160-Settings!$B$2)</f>
        <v/>
      </c>
      <c r="I160" s="14" t="n"/>
      <c r="J160" s="14" t="n"/>
      <c r="K160" s="14" t="n"/>
      <c r="L160" s="14" t="n"/>
      <c r="M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5">
        <f>IF(OR(G161="",L161="Closed"),"",G161-Settings!$B$2)</f>
        <v/>
      </c>
      <c r="I161" s="14" t="n"/>
      <c r="J161" s="14" t="n"/>
      <c r="K161" s="14" t="n"/>
      <c r="L161" s="14" t="n"/>
      <c r="M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5">
        <f>IF(OR(G162="",L162="Closed"),"",G162-Settings!$B$2)</f>
        <v/>
      </c>
      <c r="I162" s="14" t="n"/>
      <c r="J162" s="14" t="n"/>
      <c r="K162" s="14" t="n"/>
      <c r="L162" s="14" t="n"/>
      <c r="M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5">
        <f>IF(OR(G163="",L163="Closed"),"",G163-Settings!$B$2)</f>
        <v/>
      </c>
      <c r="I163" s="14" t="n"/>
      <c r="J163" s="14" t="n"/>
      <c r="K163" s="14" t="n"/>
      <c r="L163" s="14" t="n"/>
      <c r="M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5">
        <f>IF(OR(G164="",L164="Closed"),"",G164-Settings!$B$2)</f>
        <v/>
      </c>
      <c r="I164" s="14" t="n"/>
      <c r="J164" s="14" t="n"/>
      <c r="K164" s="14" t="n"/>
      <c r="L164" s="14" t="n"/>
      <c r="M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5">
        <f>IF(OR(G165="",L165="Closed"),"",G165-Settings!$B$2)</f>
        <v/>
      </c>
      <c r="I165" s="14" t="n"/>
      <c r="J165" s="14" t="n"/>
      <c r="K165" s="14" t="n"/>
      <c r="L165" s="14" t="n"/>
      <c r="M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5">
        <f>IF(OR(G166="",L166="Closed"),"",G166-Settings!$B$2)</f>
        <v/>
      </c>
      <c r="I166" s="14" t="n"/>
      <c r="J166" s="14" t="n"/>
      <c r="K166" s="14" t="n"/>
      <c r="L166" s="14" t="n"/>
      <c r="M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5">
        <f>IF(OR(G167="",L167="Closed"),"",G167-Settings!$B$2)</f>
        <v/>
      </c>
      <c r="I167" s="14" t="n"/>
      <c r="J167" s="14" t="n"/>
      <c r="K167" s="14" t="n"/>
      <c r="L167" s="14" t="n"/>
      <c r="M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5">
        <f>IF(OR(G168="",L168="Closed"),"",G168-Settings!$B$2)</f>
        <v/>
      </c>
      <c r="I168" s="14" t="n"/>
      <c r="J168" s="14" t="n"/>
      <c r="K168" s="14" t="n"/>
      <c r="L168" s="14" t="n"/>
      <c r="M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5">
        <f>IF(OR(G169="",L169="Closed"),"",G169-Settings!$B$2)</f>
        <v/>
      </c>
      <c r="I169" s="14" t="n"/>
      <c r="J169" s="14" t="n"/>
      <c r="K169" s="14" t="n"/>
      <c r="L169" s="14" t="n"/>
      <c r="M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5">
        <f>IF(OR(G170="",L170="Closed"),"",G170-Settings!$B$2)</f>
        <v/>
      </c>
      <c r="I170" s="14" t="n"/>
      <c r="J170" s="14" t="n"/>
      <c r="K170" s="14" t="n"/>
      <c r="L170" s="14" t="n"/>
      <c r="M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5">
        <f>IF(OR(G171="",L171="Closed"),"",G171-Settings!$B$2)</f>
        <v/>
      </c>
      <c r="I171" s="14" t="n"/>
      <c r="J171" s="14" t="n"/>
      <c r="K171" s="14" t="n"/>
      <c r="L171" s="14" t="n"/>
      <c r="M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5">
        <f>IF(OR(G172="",L172="Closed"),"",G172-Settings!$B$2)</f>
        <v/>
      </c>
      <c r="I172" s="14" t="n"/>
      <c r="J172" s="14" t="n"/>
      <c r="K172" s="14" t="n"/>
      <c r="L172" s="14" t="n"/>
      <c r="M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5">
        <f>IF(OR(G173="",L173="Closed"),"",G173-Settings!$B$2)</f>
        <v/>
      </c>
      <c r="I173" s="14" t="n"/>
      <c r="J173" s="14" t="n"/>
      <c r="K173" s="14" t="n"/>
      <c r="L173" s="14" t="n"/>
      <c r="M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5">
        <f>IF(OR(G174="",L174="Closed"),"",G174-Settings!$B$2)</f>
        <v/>
      </c>
      <c r="I174" s="14" t="n"/>
      <c r="J174" s="14" t="n"/>
      <c r="K174" s="14" t="n"/>
      <c r="L174" s="14" t="n"/>
      <c r="M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5">
        <f>IF(OR(G175="",L175="Closed"),"",G175-Settings!$B$2)</f>
        <v/>
      </c>
      <c r="I175" s="14" t="n"/>
      <c r="J175" s="14" t="n"/>
      <c r="K175" s="14" t="n"/>
      <c r="L175" s="14" t="n"/>
      <c r="M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5">
        <f>IF(OR(G176="",L176="Closed"),"",G176-Settings!$B$2)</f>
        <v/>
      </c>
      <c r="I176" s="14" t="n"/>
      <c r="J176" s="14" t="n"/>
      <c r="K176" s="14" t="n"/>
      <c r="L176" s="14" t="n"/>
      <c r="M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5">
        <f>IF(OR(G177="",L177="Closed"),"",G177-Settings!$B$2)</f>
        <v/>
      </c>
      <c r="I177" s="14" t="n"/>
      <c r="J177" s="14" t="n"/>
      <c r="K177" s="14" t="n"/>
      <c r="L177" s="14" t="n"/>
      <c r="M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5">
        <f>IF(OR(G178="",L178="Closed"),"",G178-Settings!$B$2)</f>
        <v/>
      </c>
      <c r="I178" s="14" t="n"/>
      <c r="J178" s="14" t="n"/>
      <c r="K178" s="14" t="n"/>
      <c r="L178" s="14" t="n"/>
      <c r="M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5">
        <f>IF(OR(G179="",L179="Closed"),"",G179-Settings!$B$2)</f>
        <v/>
      </c>
      <c r="I179" s="14" t="n"/>
      <c r="J179" s="14" t="n"/>
      <c r="K179" s="14" t="n"/>
      <c r="L179" s="14" t="n"/>
      <c r="M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5">
        <f>IF(OR(G180="",L180="Closed"),"",G180-Settings!$B$2)</f>
        <v/>
      </c>
      <c r="I180" s="14" t="n"/>
      <c r="J180" s="14" t="n"/>
      <c r="K180" s="14" t="n"/>
      <c r="L180" s="14" t="n"/>
      <c r="M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5">
        <f>IF(OR(G181="",L181="Closed"),"",G181-Settings!$B$2)</f>
        <v/>
      </c>
      <c r="I181" s="14" t="n"/>
      <c r="J181" s="14" t="n"/>
      <c r="K181" s="14" t="n"/>
      <c r="L181" s="14" t="n"/>
      <c r="M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5">
        <f>IF(OR(G182="",L182="Closed"),"",G182-Settings!$B$2)</f>
        <v/>
      </c>
      <c r="I182" s="14" t="n"/>
      <c r="J182" s="14" t="n"/>
      <c r="K182" s="14" t="n"/>
      <c r="L182" s="14" t="n"/>
      <c r="M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5">
        <f>IF(OR(G183="",L183="Closed"),"",G183-Settings!$B$2)</f>
        <v/>
      </c>
      <c r="I183" s="14" t="n"/>
      <c r="J183" s="14" t="n"/>
      <c r="K183" s="14" t="n"/>
      <c r="L183" s="14" t="n"/>
      <c r="M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5">
        <f>IF(OR(G184="",L184="Closed"),"",G184-Settings!$B$2)</f>
        <v/>
      </c>
      <c r="I184" s="14" t="n"/>
      <c r="J184" s="14" t="n"/>
      <c r="K184" s="14" t="n"/>
      <c r="L184" s="14" t="n"/>
      <c r="M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5">
        <f>IF(OR(G185="",L185="Closed"),"",G185-Settings!$B$2)</f>
        <v/>
      </c>
      <c r="I185" s="14" t="n"/>
      <c r="J185" s="14" t="n"/>
      <c r="K185" s="14" t="n"/>
      <c r="L185" s="14" t="n"/>
      <c r="M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5">
        <f>IF(OR(G186="",L186="Closed"),"",G186-Settings!$B$2)</f>
        <v/>
      </c>
      <c r="I186" s="14" t="n"/>
      <c r="J186" s="14" t="n"/>
      <c r="K186" s="14" t="n"/>
      <c r="L186" s="14" t="n"/>
      <c r="M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5">
        <f>IF(OR(G187="",L187="Closed"),"",G187-Settings!$B$2)</f>
        <v/>
      </c>
      <c r="I187" s="14" t="n"/>
      <c r="J187" s="14" t="n"/>
      <c r="K187" s="14" t="n"/>
      <c r="L187" s="14" t="n"/>
      <c r="M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5">
        <f>IF(OR(G188="",L188="Closed"),"",G188-Settings!$B$2)</f>
        <v/>
      </c>
      <c r="I188" s="14" t="n"/>
      <c r="J188" s="14" t="n"/>
      <c r="K188" s="14" t="n"/>
      <c r="L188" s="14" t="n"/>
      <c r="M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5">
        <f>IF(OR(G189="",L189="Closed"),"",G189-Settings!$B$2)</f>
        <v/>
      </c>
      <c r="I189" s="14" t="n"/>
      <c r="J189" s="14" t="n"/>
      <c r="K189" s="14" t="n"/>
      <c r="L189" s="14" t="n"/>
      <c r="M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5">
        <f>IF(OR(G190="",L190="Closed"),"",G190-Settings!$B$2)</f>
        <v/>
      </c>
      <c r="I190" s="14" t="n"/>
      <c r="J190" s="14" t="n"/>
      <c r="K190" s="14" t="n"/>
      <c r="L190" s="14" t="n"/>
      <c r="M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5">
        <f>IF(OR(G191="",L191="Closed"),"",G191-Settings!$B$2)</f>
        <v/>
      </c>
      <c r="I191" s="14" t="n"/>
      <c r="J191" s="14" t="n"/>
      <c r="K191" s="14" t="n"/>
      <c r="L191" s="14" t="n"/>
      <c r="M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5">
        <f>IF(OR(G192="",L192="Closed"),"",G192-Settings!$B$2)</f>
        <v/>
      </c>
      <c r="I192" s="14" t="n"/>
      <c r="J192" s="14" t="n"/>
      <c r="K192" s="14" t="n"/>
      <c r="L192" s="14" t="n"/>
      <c r="M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5">
        <f>IF(OR(G193="",L193="Closed"),"",G193-Settings!$B$2)</f>
        <v/>
      </c>
      <c r="I193" s="14" t="n"/>
      <c r="J193" s="14" t="n"/>
      <c r="K193" s="14" t="n"/>
      <c r="L193" s="14" t="n"/>
      <c r="M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5">
        <f>IF(OR(G194="",L194="Closed"),"",G194-Settings!$B$2)</f>
        <v/>
      </c>
      <c r="I194" s="14" t="n"/>
      <c r="J194" s="14" t="n"/>
      <c r="K194" s="14" t="n"/>
      <c r="L194" s="14" t="n"/>
      <c r="M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5">
        <f>IF(OR(G195="",L195="Closed"),"",G195-Settings!$B$2)</f>
        <v/>
      </c>
      <c r="I195" s="14" t="n"/>
      <c r="J195" s="14" t="n"/>
      <c r="K195" s="14" t="n"/>
      <c r="L195" s="14" t="n"/>
      <c r="M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5">
        <f>IF(OR(G196="",L196="Closed"),"",G196-Settings!$B$2)</f>
        <v/>
      </c>
      <c r="I196" s="14" t="n"/>
      <c r="J196" s="14" t="n"/>
      <c r="K196" s="14" t="n"/>
      <c r="L196" s="14" t="n"/>
      <c r="M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5">
        <f>IF(OR(G197="",L197="Closed"),"",G197-Settings!$B$2)</f>
        <v/>
      </c>
      <c r="I197" s="14" t="n"/>
      <c r="J197" s="14" t="n"/>
      <c r="K197" s="14" t="n"/>
      <c r="L197" s="14" t="n"/>
      <c r="M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5">
        <f>IF(OR(G198="",L198="Closed"),"",G198-Settings!$B$2)</f>
        <v/>
      </c>
      <c r="I198" s="14" t="n"/>
      <c r="J198" s="14" t="n"/>
      <c r="K198" s="14" t="n"/>
      <c r="L198" s="14" t="n"/>
      <c r="M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5">
        <f>IF(OR(G199="",L199="Closed"),"",G199-Settings!$B$2)</f>
        <v/>
      </c>
      <c r="I199" s="14" t="n"/>
      <c r="J199" s="14" t="n"/>
      <c r="K199" s="14" t="n"/>
      <c r="L199" s="14" t="n"/>
      <c r="M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5">
        <f>IF(OR(G200="",L200="Closed"),"",G200-Settings!$B$2)</f>
        <v/>
      </c>
      <c r="I200" s="14" t="n"/>
      <c r="J200" s="14" t="n"/>
      <c r="K200" s="14" t="n"/>
      <c r="L200" s="14" t="n"/>
      <c r="M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5">
        <f>IF(OR(G201="",L201="Closed"),"",G201-Settings!$B$2)</f>
        <v/>
      </c>
      <c r="I201" s="14" t="n"/>
      <c r="J201" s="14" t="n"/>
      <c r="K201" s="14" t="n"/>
      <c r="L201" s="14" t="n"/>
      <c r="M201" s="14" t="n"/>
    </row>
    <row r="203">
      <c r="A203" s="8" t="inlineStr">
        <is>
          <t>An extension without a new reason is a rejection with better manners. Column J is the tell that the quarterly review has stopped happening.</t>
        </is>
      </c>
    </row>
  </sheetData>
  <autoFilter ref="A1:M201"/>
  <conditionalFormatting sqref="H2:H201">
    <cfRule type="cellIs" priority="1" operator="lessThan" dxfId="0">
      <formula>0</formula>
    </cfRule>
  </conditionalFormatting>
  <conditionalFormatting sqref="J2:J201">
    <cfRule type="cellIs" priority="2" operator="equal" dxfId="1">
      <formula>"No"</formula>
    </cfRule>
  </conditionalFormatting>
  <dataValidations count="1">
    <dataValidation sqref="L2:L201" showDropDown="0" showInputMessage="0" showErrorMessage="0" allowBlank="1" type="list">
      <formula1>=Lists!$C$1:$C$4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5" customWidth="1" min="4" max="4"/>
    <col width="22" customWidth="1" min="5" max="5"/>
    <col width="30" customWidth="1" min="6" max="6"/>
    <col width="34" customWidth="1" min="7" max="7"/>
    <col width="44" customWidth="1" min="8" max="8"/>
    <col width="36" customWidth="1" min="9" max="9"/>
    <col width="20" customWidth="1" min="10" max="10"/>
    <col width="30" customWidth="1" min="11" max="11"/>
  </cols>
  <sheetData>
    <row r="1">
      <c r="A1" s="11" t="inlineStr">
        <is>
          <t>ID</t>
        </is>
      </c>
      <c r="B1" s="11" t="inlineStr">
        <is>
          <t>Date</t>
        </is>
      </c>
      <c r="C1" s="11" t="inlineStr">
        <is>
          <t>Record</t>
        </is>
      </c>
      <c r="D1" s="11" t="inlineStr">
        <is>
          <t>Record type</t>
        </is>
      </c>
      <c r="E1" s="11" t="inlineStr">
        <is>
          <t>Field set</t>
        </is>
      </c>
      <c r="F1" s="11" t="inlineStr">
        <is>
          <t>Chose</t>
        </is>
      </c>
      <c r="G1" s="11" t="inlineStr">
        <is>
          <t>Rejected</t>
        </is>
      </c>
      <c r="H1" s="11" t="inlineStr">
        <is>
          <t>Why</t>
        </is>
      </c>
      <c r="I1" s="11" t="inlineStr">
        <is>
          <t>Cost we accept</t>
        </is>
      </c>
      <c r="J1" s="11" t="inlineStr">
        <is>
          <t>Decided by</t>
        </is>
      </c>
      <c r="K1" s="11" t="inlineStr">
        <is>
          <t>Review trigger</t>
        </is>
      </c>
    </row>
    <row r="2">
      <c r="A2" s="12" t="inlineStr">
        <is>
          <t>CLS-014</t>
        </is>
      </c>
      <c r="B2" s="13" t="n">
        <v>46064</v>
      </c>
      <c r="C2" s="12" t="inlineStr">
        <is>
          <t>APP-077</t>
        </is>
      </c>
      <c r="D2" s="12" t="inlineStr">
        <is>
          <t>Application</t>
        </is>
      </c>
      <c r="E2" s="12" t="inlineStr">
        <is>
          <t>Application or IT component</t>
        </is>
      </c>
      <c r="F2" s="12" t="inlineStr">
        <is>
          <t>One application</t>
        </is>
      </c>
      <c r="G2" s="12" t="inlineStr">
        <is>
          <t>Three IT components under a notional parent</t>
        </is>
      </c>
      <c r="H2" s="12" t="inlineStr">
        <is>
          <t>Business users interact with it directly, which is the line we apply everywhere. The parts have no independent lifecycle and no separate owner</t>
        </is>
      </c>
      <c r="I2" s="12" t="inlineStr">
        <is>
          <t>Per-part end-of-support reporting moves to a note on the record</t>
        </is>
      </c>
      <c r="J2" s="12" t="inlineStr">
        <is>
          <t>Portfolio owner</t>
        </is>
      </c>
      <c r="K2" s="12" t="inlineStr">
        <is>
          <t>When the semantic layer is replaced</t>
        </is>
      </c>
    </row>
    <row r="3">
      <c r="A3" s="12" t="inlineStr">
        <is>
          <t>CLS-015</t>
        </is>
      </c>
      <c r="B3" s="13" t="n">
        <v>46085</v>
      </c>
      <c r="C3" s="12" t="inlineStr">
        <is>
          <t>OBJ-04</t>
        </is>
      </c>
      <c r="D3" s="12" t="inlineStr">
        <is>
          <t>Object</t>
        </is>
      </c>
      <c r="E3" s="12" t="inlineStr">
        <is>
          <t>Definition boundary</t>
        </is>
      </c>
      <c r="F3" s="12" t="inlineStr">
        <is>
          <t>A supplier is a legal entity we can raise a purchase order against</t>
        </is>
      </c>
      <c r="G3" s="12" t="inlineStr">
        <is>
          <t>Including carriers and one-off payees, as finance wanted</t>
        </is>
      </c>
      <c r="H3" s="12" t="inlineStr">
        <is>
          <t>Carriers have a different lifecycle and different statutory handling</t>
        </is>
      </c>
      <c r="I3" s="12" t="inlineStr">
        <is>
          <t>Finance keeps a separate payee list and reconciles monthly</t>
        </is>
      </c>
      <c r="J3" s="12" t="inlineStr">
        <is>
          <t>Data steward</t>
        </is>
      </c>
      <c r="K3" s="12" t="inlineStr">
        <is>
          <t>If the payment process changes</t>
        </is>
      </c>
    </row>
    <row r="4">
      <c r="A4" s="12" t="inlineStr">
        <is>
          <t>CLS-016</t>
        </is>
      </c>
      <c r="B4" s="13" t="n">
        <v>46134</v>
      </c>
      <c r="C4" s="12" t="inlineStr">
        <is>
          <t>APP-118</t>
        </is>
      </c>
      <c r="D4" s="12" t="inlineStr">
        <is>
          <t>Application</t>
        </is>
      </c>
      <c r="E4" s="12" t="inlineStr">
        <is>
          <t>Lifecycle and sunset</t>
        </is>
      </c>
      <c r="F4" s="12" t="inlineStr">
        <is>
          <t>Phase-out with sunset 2027-06-30</t>
        </is>
      </c>
      <c r="G4" s="12" t="inlineStr">
        <is>
          <t>Retain, which the market argued for</t>
        </is>
      </c>
      <c r="H4" s="12" t="inlineStr">
        <is>
          <t>The onboarding service covers the capability from wave two, and the licence renews in 2027</t>
        </is>
      </c>
      <c r="I4" s="12" t="inlineStr">
        <is>
          <t>The market runs both for one quarter during transition</t>
        </is>
      </c>
      <c r="J4" s="12" t="inlineStr">
        <is>
          <t>Application owner</t>
        </is>
      </c>
      <c r="K4" s="12" t="inlineStr">
        <is>
          <t>At wave two go-live</t>
        </is>
      </c>
    </row>
    <row r="5">
      <c r="A5" s="12" t="inlineStr">
        <is>
          <t>CLS-017</t>
        </is>
      </c>
      <c r="B5" s="13" t="n">
        <v>46161</v>
      </c>
      <c r="C5" s="12" t="inlineStr">
        <is>
          <t>OBJ-01</t>
        </is>
      </c>
      <c r="D5" s="12" t="inlineStr">
        <is>
          <t>Object</t>
        </is>
      </c>
      <c r="E5" s="12" t="inlineStr">
        <is>
          <t>Residency classification</t>
        </is>
      </c>
      <c r="F5" s="12" t="inlineStr">
        <is>
          <t>Customer data for markets B, E and G stays in-country</t>
        </is>
      </c>
      <c r="G5" s="12" t="inlineStr">
        <is>
          <t>One EU region for all markets, which is cheaper</t>
        </is>
      </c>
      <c r="H5" s="12" t="inlineStr">
        <is>
          <t>Three markets have statutory residency requirements naming the jurisdiction</t>
        </is>
      </c>
      <c r="I5" s="12" t="inlineStr">
        <is>
          <t>Three additional database instances and their operating cost</t>
        </is>
      </c>
      <c r="J5" s="12" t="inlineStr">
        <is>
          <t>Compliance lead</t>
        </is>
      </c>
      <c r="K5" s="12" t="inlineStr">
        <is>
          <t>On any new market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</row>
    <row r="303">
      <c r="A303" s="8" t="inlineStr">
        <is>
          <t>The register almost nobody keeps. These are the calls that change counts, ownership and budgets for years, and they are normally recorded nowhere.</t>
        </is>
      </c>
    </row>
  </sheetData>
  <autoFilter ref="A1:K301"/>
  <dataValidations count="1">
    <dataValidation sqref="D2:D301" showDropDown="0" showInputMessage="0" showErrorMessage="0" allowBlank="1" type="list">
      <formula1>=Lists!$D$1:$D$7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10" customWidth="1" min="5" max="5"/>
    <col width="10" customWidth="1" min="6" max="6"/>
    <col width="30" customWidth="1" min="7" max="7"/>
    <col width="46" customWidth="1" min="8" max="8"/>
    <col width="22" customWidth="1" min="9" max="9"/>
    <col width="11" customWidth="1" min="10" max="10"/>
    <col width="12" customWidth="1" min="11" max="11"/>
    <col width="12" customWidth="1" min="12" max="12"/>
  </cols>
  <sheetData>
    <row r="1">
      <c r="A1" s="11" t="inlineStr">
        <is>
          <t>ID</t>
        </is>
      </c>
      <c r="B1" s="11" t="inlineStr">
        <is>
          <t>Date</t>
        </is>
      </c>
      <c r="C1" s="11" t="inlineStr">
        <is>
          <t>Record</t>
        </is>
      </c>
      <c r="D1" s="11" t="inlineStr">
        <is>
          <t>Scale</t>
        </is>
      </c>
      <c r="E1" s="11" t="inlineStr">
        <is>
          <t>Chose</t>
        </is>
      </c>
      <c r="F1" s="11" t="inlineStr">
        <is>
          <t>Rejected</t>
        </is>
      </c>
      <c r="G1" s="11" t="inlineStr">
        <is>
          <t>Anchor cited</t>
        </is>
      </c>
      <c r="H1" s="11" t="inlineStr">
        <is>
          <t>Why</t>
        </is>
      </c>
      <c r="I1" s="11" t="inlineStr">
        <is>
          <t>Rated by</t>
        </is>
      </c>
      <c r="J1" s="11" t="inlineStr">
        <is>
          <t>Disputed?</t>
        </is>
      </c>
      <c r="K1" s="11" t="inlineStr">
        <is>
          <t>Next cycle</t>
        </is>
      </c>
      <c r="L1" s="11" t="inlineStr">
        <is>
          <t>Days since</t>
        </is>
      </c>
    </row>
    <row r="2">
      <c r="A2" s="12" t="inlineStr">
        <is>
          <t>ASM-2026-Q2-APP-118</t>
        </is>
      </c>
      <c r="B2" s="13" t="n">
        <v>46146</v>
      </c>
      <c r="C2" s="12" t="inlineStr">
        <is>
          <t>APP-118</t>
        </is>
      </c>
      <c r="D2" s="12" t="inlineStr">
        <is>
          <t>Business fit</t>
        </is>
      </c>
      <c r="E2" s="12" t="n">
        <v>2</v>
      </c>
      <c r="F2" s="12" t="n">
        <v>3</v>
      </c>
      <c r="G2" s="12" t="inlineStr">
        <is>
          <t>"Does the job with accepted workarounds" is the anchor for 3</t>
        </is>
      </c>
      <c r="H2" s="12" t="inlineStr">
        <is>
          <t>Two of four core steps are done outside the system in a spreadsheet maintained by one person. A core gap filled by a shadow tool is the published anchor for 2</t>
        </is>
      </c>
      <c r="I2" s="12" t="inlineStr">
        <is>
          <t>Head of procurement ops</t>
        </is>
      </c>
      <c r="J2" s="12" t="inlineStr">
        <is>
          <t>Yes</t>
        </is>
      </c>
      <c r="K2" s="13" t="n">
        <v>46330</v>
      </c>
      <c r="L2" s="16">
        <f>IF(B2="",0,Settings!$B$2-B2)</f>
        <v/>
      </c>
    </row>
    <row r="3">
      <c r="A3" s="12" t="inlineStr">
        <is>
          <t>ASM-2026-Q2-APP-118T</t>
        </is>
      </c>
      <c r="B3" s="13" t="n">
        <v>46146</v>
      </c>
      <c r="C3" s="12" t="inlineStr">
        <is>
          <t>APP-118</t>
        </is>
      </c>
      <c r="D3" s="12" t="inlineStr">
        <is>
          <t>Technical fit</t>
        </is>
      </c>
      <c r="E3" s="12" t="n">
        <v>2</v>
      </c>
      <c r="F3" s="14" t="n"/>
      <c r="G3" s="12" t="inlineStr">
        <is>
          <t>"Components approaching end of support" is the anchor for 2</t>
        </is>
      </c>
      <c r="H3" s="12" t="inlineStr">
        <is>
          <t>The database version is out of support in eleven months and the integration is a file drop with no schema</t>
        </is>
      </c>
      <c r="I3" s="12" t="inlineStr">
        <is>
          <t>Integration team</t>
        </is>
      </c>
      <c r="J3" s="12" t="inlineStr">
        <is>
          <t>No</t>
        </is>
      </c>
      <c r="K3" s="13" t="n">
        <v>46330</v>
      </c>
      <c r="L3" s="16">
        <f>IF(B3="",0,Settings!$B$2-B3)</f>
        <v/>
      </c>
    </row>
    <row r="4">
      <c r="A4" s="12" t="inlineStr">
        <is>
          <t>ASM-2026-Q2-APP-002</t>
        </is>
      </c>
      <c r="B4" s="13" t="n">
        <v>46153</v>
      </c>
      <c r="C4" s="12" t="inlineStr">
        <is>
          <t>APP-002</t>
        </is>
      </c>
      <c r="D4" s="12" t="inlineStr">
        <is>
          <t>Business fit</t>
        </is>
      </c>
      <c r="E4" s="12" t="n">
        <v>3</v>
      </c>
      <c r="F4" s="14" t="n"/>
      <c r="G4" s="12" t="inlineStr">
        <is>
          <t>"Does the job with accepted workarounds"</t>
        </is>
      </c>
      <c r="H4" s="12" t="inlineStr">
        <is>
          <t>Two markets maintain parallel spreadsheets for reporting, accepted and understood</t>
        </is>
      </c>
      <c r="I4" s="12" t="inlineStr">
        <is>
          <t>Head of order management</t>
        </is>
      </c>
      <c r="J4" s="12" t="inlineStr">
        <is>
          <t>No</t>
        </is>
      </c>
      <c r="K4" s="13" t="n">
        <v>46337</v>
      </c>
      <c r="L4" s="16">
        <f>IF(B4="",0,Settings!$B$2-B4)</f>
        <v/>
      </c>
    </row>
    <row r="5">
      <c r="A5" s="12" t="inlineStr">
        <is>
          <t>ASM-2025-Q4-APP-070</t>
        </is>
      </c>
      <c r="B5" s="13" t="n">
        <v>45979</v>
      </c>
      <c r="C5" s="12" t="inlineStr">
        <is>
          <t>APP-070</t>
        </is>
      </c>
      <c r="D5" s="12" t="inlineStr">
        <is>
          <t>Technical fit</t>
        </is>
      </c>
      <c r="E5" s="12" t="n">
        <v>2</v>
      </c>
      <c r="F5" s="12" t="n">
        <v>3</v>
      </c>
      <c r="G5" s="12" t="inlineStr">
        <is>
          <t>"Integration debt accumulating"</t>
        </is>
      </c>
      <c r="H5" s="12" t="inlineStr">
        <is>
          <t>Three point-to-point interfaces with no contracts, all built in one quarter</t>
        </is>
      </c>
      <c r="I5" s="12" t="inlineStr">
        <is>
          <t>Integration team</t>
        </is>
      </c>
      <c r="J5" s="12" t="inlineStr">
        <is>
          <t>No</t>
        </is>
      </c>
      <c r="K5" s="13" t="n">
        <v>46160</v>
      </c>
      <c r="L5" s="16">
        <f>IF(B5="",0,Settings!$B$2-B5)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7">
        <f>IF(B6="",0,Settings!$B$2-B6)</f>
        <v/>
      </c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7">
        <f>IF(B7="",0,Settings!$B$2-B7)</f>
        <v/>
      </c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7">
        <f>IF(B8="",0,Settings!$B$2-B8)</f>
        <v/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7">
        <f>IF(B9="",0,Settings!$B$2-B9)</f>
        <v/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7">
        <f>IF(B10="",0,Settings!$B$2-B10)</f>
        <v/>
      </c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7">
        <f>IF(B11="",0,Settings!$B$2-B11)</f>
        <v/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7">
        <f>IF(B12="",0,Settings!$B$2-B12)</f>
        <v/>
      </c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7">
        <f>IF(B13="",0,Settings!$B$2-B13)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7">
        <f>IF(B14="",0,Settings!$B$2-B14)</f>
        <v/>
      </c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7">
        <f>IF(B15="",0,Settings!$B$2-B15)</f>
        <v/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7">
        <f>IF(B16="",0,Settings!$B$2-B16)</f>
        <v/>
      </c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7">
        <f>IF(B17="",0,Settings!$B$2-B17)</f>
        <v/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7">
        <f>IF(B18="",0,Settings!$B$2-B18)</f>
        <v/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7">
        <f>IF(B19="",0,Settings!$B$2-B19)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7">
        <f>IF(B20="",0,Settings!$B$2-B20)</f>
        <v/>
      </c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7">
        <f>IF(B21="",0,Settings!$B$2-B21)</f>
        <v/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7">
        <f>IF(B22="",0,Settings!$B$2-B22)</f>
        <v/>
      </c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7">
        <f>IF(B23="",0,Settings!$B$2-B23)</f>
        <v/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7">
        <f>IF(B24="",0,Settings!$B$2-B24)</f>
        <v/>
      </c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7">
        <f>IF(B25="",0,Settings!$B$2-B25)</f>
        <v/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7">
        <f>IF(B26="",0,Settings!$B$2-B26)</f>
        <v/>
      </c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7">
        <f>IF(B27="",0,Settings!$B$2-B27)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7">
        <f>IF(B28="",0,Settings!$B$2-B28)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7">
        <f>IF(B29="",0,Settings!$B$2-B29)</f>
        <v/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7">
        <f>IF(B30="",0,Settings!$B$2-B30)</f>
        <v/>
      </c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7">
        <f>IF(B31="",0,Settings!$B$2-B31)</f>
        <v/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7">
        <f>IF(B32="",0,Settings!$B$2-B32)</f>
        <v/>
      </c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7">
        <f>IF(B33="",0,Settings!$B$2-B33)</f>
        <v/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7">
        <f>IF(B34="",0,Settings!$B$2-B34)</f>
        <v/>
      </c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7">
        <f>IF(B35="",0,Settings!$B$2-B35)</f>
        <v/>
      </c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7">
        <f>IF(B36="",0,Settings!$B$2-B36)</f>
        <v/>
      </c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7">
        <f>IF(B37="",0,Settings!$B$2-B37)</f>
        <v/>
      </c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7">
        <f>IF(B38="",0,Settings!$B$2-B38)</f>
        <v/>
      </c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7">
        <f>IF(B39="",0,Settings!$B$2-B39)</f>
        <v/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7">
        <f>IF(B40="",0,Settings!$B$2-B40)</f>
        <v/>
      </c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7">
        <f>IF(B41="",0,Settings!$B$2-B41)</f>
        <v/>
      </c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7">
        <f>IF(B42="",0,Settings!$B$2-B42)</f>
        <v/>
      </c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7">
        <f>IF(B43="",0,Settings!$B$2-B43)</f>
        <v/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7">
        <f>IF(B44="",0,Settings!$B$2-B44)</f>
        <v/>
      </c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7">
        <f>IF(B45="",0,Settings!$B$2-B45)</f>
        <v/>
      </c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7">
        <f>IF(B46="",0,Settings!$B$2-B46)</f>
        <v/>
      </c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7">
        <f>IF(B47="",0,Settings!$B$2-B47)</f>
        <v/>
      </c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7">
        <f>IF(B48="",0,Settings!$B$2-B48)</f>
        <v/>
      </c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7">
        <f>IF(B49="",0,Settings!$B$2-B49)</f>
        <v/>
      </c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7">
        <f>IF(B50="",0,Settings!$B$2-B50)</f>
        <v/>
      </c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7">
        <f>IF(B51="",0,Settings!$B$2-B51)</f>
        <v/>
      </c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7">
        <f>IF(B52="",0,Settings!$B$2-B52)</f>
        <v/>
      </c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7">
        <f>IF(B53="",0,Settings!$B$2-B53)</f>
        <v/>
      </c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7">
        <f>IF(B54="",0,Settings!$B$2-B54)</f>
        <v/>
      </c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7">
        <f>IF(B55="",0,Settings!$B$2-B55)</f>
        <v/>
      </c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7">
        <f>IF(B56="",0,Settings!$B$2-B56)</f>
        <v/>
      </c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7">
        <f>IF(B57="",0,Settings!$B$2-B57)</f>
        <v/>
      </c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7">
        <f>IF(B58="",0,Settings!$B$2-B58)</f>
        <v/>
      </c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7">
        <f>IF(B59="",0,Settings!$B$2-B59)</f>
        <v/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7">
        <f>IF(B60="",0,Settings!$B$2-B60)</f>
        <v/>
      </c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7">
        <f>IF(B61="",0,Settings!$B$2-B61)</f>
        <v/>
      </c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7">
        <f>IF(B62="",0,Settings!$B$2-B62)</f>
        <v/>
      </c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7">
        <f>IF(B63="",0,Settings!$B$2-B63)</f>
        <v/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7">
        <f>IF(B64="",0,Settings!$B$2-B64)</f>
        <v/>
      </c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7">
        <f>IF(B65="",0,Settings!$B$2-B65)</f>
        <v/>
      </c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7">
        <f>IF(B66="",0,Settings!$B$2-B66)</f>
        <v/>
      </c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7">
        <f>IF(B67="",0,Settings!$B$2-B67)</f>
        <v/>
      </c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7">
        <f>IF(B68="",0,Settings!$B$2-B68)</f>
        <v/>
      </c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7">
        <f>IF(B69="",0,Settings!$B$2-B69)</f>
        <v/>
      </c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7">
        <f>IF(B70="",0,Settings!$B$2-B70)</f>
        <v/>
      </c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7">
        <f>IF(B71="",0,Settings!$B$2-B71)</f>
        <v/>
      </c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7">
        <f>IF(B72="",0,Settings!$B$2-B72)</f>
        <v/>
      </c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7">
        <f>IF(B73="",0,Settings!$B$2-B73)</f>
        <v/>
      </c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7">
        <f>IF(B74="",0,Settings!$B$2-B74)</f>
        <v/>
      </c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7">
        <f>IF(B75="",0,Settings!$B$2-B75)</f>
        <v/>
      </c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7">
        <f>IF(B76="",0,Settings!$B$2-B76)</f>
        <v/>
      </c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7">
        <f>IF(B77="",0,Settings!$B$2-B77)</f>
        <v/>
      </c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7">
        <f>IF(B78="",0,Settings!$B$2-B78)</f>
        <v/>
      </c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7">
        <f>IF(B79="",0,Settings!$B$2-B79)</f>
        <v/>
      </c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7">
        <f>IF(B80="",0,Settings!$B$2-B80)</f>
        <v/>
      </c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7">
        <f>IF(B81="",0,Settings!$B$2-B81)</f>
        <v/>
      </c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7">
        <f>IF(B82="",0,Settings!$B$2-B82)</f>
        <v/>
      </c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7">
        <f>IF(B83="",0,Settings!$B$2-B83)</f>
        <v/>
      </c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7">
        <f>IF(B84="",0,Settings!$B$2-B84)</f>
        <v/>
      </c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7">
        <f>IF(B85="",0,Settings!$B$2-B85)</f>
        <v/>
      </c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7">
        <f>IF(B86="",0,Settings!$B$2-B86)</f>
        <v/>
      </c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7">
        <f>IF(B87="",0,Settings!$B$2-B87)</f>
        <v/>
      </c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7">
        <f>IF(B88="",0,Settings!$B$2-B88)</f>
        <v/>
      </c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7">
        <f>IF(B89="",0,Settings!$B$2-B89)</f>
        <v/>
      </c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7">
        <f>IF(B90="",0,Settings!$B$2-B90)</f>
        <v/>
      </c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7">
        <f>IF(B91="",0,Settings!$B$2-B91)</f>
        <v/>
      </c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7">
        <f>IF(B92="",0,Settings!$B$2-B92)</f>
        <v/>
      </c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7">
        <f>IF(B93="",0,Settings!$B$2-B93)</f>
        <v/>
      </c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7">
        <f>IF(B94="",0,Settings!$B$2-B94)</f>
        <v/>
      </c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7">
        <f>IF(B95="",0,Settings!$B$2-B95)</f>
        <v/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7">
        <f>IF(B96="",0,Settings!$B$2-B96)</f>
        <v/>
      </c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7">
        <f>IF(B97="",0,Settings!$B$2-B97)</f>
        <v/>
      </c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7">
        <f>IF(B98="",0,Settings!$B$2-B98)</f>
        <v/>
      </c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7">
        <f>IF(B99="",0,Settings!$B$2-B99)</f>
        <v/>
      </c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7">
        <f>IF(B100="",0,Settings!$B$2-B100)</f>
        <v/>
      </c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7">
        <f>IF(B101="",0,Settings!$B$2-B101)</f>
        <v/>
      </c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7">
        <f>IF(B102="",0,Settings!$B$2-B102)</f>
        <v/>
      </c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7">
        <f>IF(B103="",0,Settings!$B$2-B103)</f>
        <v/>
      </c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7">
        <f>IF(B104="",0,Settings!$B$2-B104)</f>
        <v/>
      </c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7">
        <f>IF(B105="",0,Settings!$B$2-B105)</f>
        <v/>
      </c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7">
        <f>IF(B106="",0,Settings!$B$2-B106)</f>
        <v/>
      </c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7">
        <f>IF(B107="",0,Settings!$B$2-B107)</f>
        <v/>
      </c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7">
        <f>IF(B108="",0,Settings!$B$2-B108)</f>
        <v/>
      </c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7">
        <f>IF(B109="",0,Settings!$B$2-B109)</f>
        <v/>
      </c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7">
        <f>IF(B110="",0,Settings!$B$2-B110)</f>
        <v/>
      </c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7">
        <f>IF(B111="",0,Settings!$B$2-B111)</f>
        <v/>
      </c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7">
        <f>IF(B112="",0,Settings!$B$2-B112)</f>
        <v/>
      </c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7">
        <f>IF(B113="",0,Settings!$B$2-B113)</f>
        <v/>
      </c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7">
        <f>IF(B114="",0,Settings!$B$2-B114)</f>
        <v/>
      </c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7">
        <f>IF(B115="",0,Settings!$B$2-B115)</f>
        <v/>
      </c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7">
        <f>IF(B116="",0,Settings!$B$2-B116)</f>
        <v/>
      </c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7">
        <f>IF(B117="",0,Settings!$B$2-B117)</f>
        <v/>
      </c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7">
        <f>IF(B118="",0,Settings!$B$2-B118)</f>
        <v/>
      </c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7">
        <f>IF(B119="",0,Settings!$B$2-B119)</f>
        <v/>
      </c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7">
        <f>IF(B120="",0,Settings!$B$2-B120)</f>
        <v/>
      </c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7">
        <f>IF(B121="",0,Settings!$B$2-B121)</f>
        <v/>
      </c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7">
        <f>IF(B122="",0,Settings!$B$2-B122)</f>
        <v/>
      </c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7">
        <f>IF(B123="",0,Settings!$B$2-B123)</f>
        <v/>
      </c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7">
        <f>IF(B124="",0,Settings!$B$2-B124)</f>
        <v/>
      </c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7">
        <f>IF(B125="",0,Settings!$B$2-B125)</f>
        <v/>
      </c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7">
        <f>IF(B126="",0,Settings!$B$2-B126)</f>
        <v/>
      </c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7">
        <f>IF(B127="",0,Settings!$B$2-B127)</f>
        <v/>
      </c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7">
        <f>IF(B128="",0,Settings!$B$2-B128)</f>
        <v/>
      </c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7">
        <f>IF(B129="",0,Settings!$B$2-B129)</f>
        <v/>
      </c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7">
        <f>IF(B130="",0,Settings!$B$2-B130)</f>
        <v/>
      </c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7">
        <f>IF(B131="",0,Settings!$B$2-B131)</f>
        <v/>
      </c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7">
        <f>IF(B132="",0,Settings!$B$2-B132)</f>
        <v/>
      </c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7">
        <f>IF(B133="",0,Settings!$B$2-B133)</f>
        <v/>
      </c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7">
        <f>IF(B134="",0,Settings!$B$2-B134)</f>
        <v/>
      </c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7">
        <f>IF(B135="",0,Settings!$B$2-B135)</f>
        <v/>
      </c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7">
        <f>IF(B136="",0,Settings!$B$2-B136)</f>
        <v/>
      </c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7">
        <f>IF(B137="",0,Settings!$B$2-B137)</f>
        <v/>
      </c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7">
        <f>IF(B138="",0,Settings!$B$2-B138)</f>
        <v/>
      </c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7">
        <f>IF(B139="",0,Settings!$B$2-B139)</f>
        <v/>
      </c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7">
        <f>IF(B140="",0,Settings!$B$2-B140)</f>
        <v/>
      </c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7">
        <f>IF(B141="",0,Settings!$B$2-B141)</f>
        <v/>
      </c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7">
        <f>IF(B142="",0,Settings!$B$2-B142)</f>
        <v/>
      </c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7">
        <f>IF(B143="",0,Settings!$B$2-B143)</f>
        <v/>
      </c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7">
        <f>IF(B144="",0,Settings!$B$2-B144)</f>
        <v/>
      </c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7">
        <f>IF(B145="",0,Settings!$B$2-B145)</f>
        <v/>
      </c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7">
        <f>IF(B146="",0,Settings!$B$2-B146)</f>
        <v/>
      </c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7">
        <f>IF(B147="",0,Settings!$B$2-B147)</f>
        <v/>
      </c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7">
        <f>IF(B148="",0,Settings!$B$2-B148)</f>
        <v/>
      </c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7">
        <f>IF(B149="",0,Settings!$B$2-B149)</f>
        <v/>
      </c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7">
        <f>IF(B150="",0,Settings!$B$2-B150)</f>
        <v/>
      </c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7">
        <f>IF(B151="",0,Settings!$B$2-B151)</f>
        <v/>
      </c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7">
        <f>IF(B152="",0,Settings!$B$2-B152)</f>
        <v/>
      </c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7">
        <f>IF(B153="",0,Settings!$B$2-B153)</f>
        <v/>
      </c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7">
        <f>IF(B154="",0,Settings!$B$2-B154)</f>
        <v/>
      </c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7">
        <f>IF(B155="",0,Settings!$B$2-B155)</f>
        <v/>
      </c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7">
        <f>IF(B156="",0,Settings!$B$2-B156)</f>
        <v/>
      </c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7">
        <f>IF(B157="",0,Settings!$B$2-B157)</f>
        <v/>
      </c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7">
        <f>IF(B158="",0,Settings!$B$2-B158)</f>
        <v/>
      </c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7">
        <f>IF(B159="",0,Settings!$B$2-B159)</f>
        <v/>
      </c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7">
        <f>IF(B160="",0,Settings!$B$2-B160)</f>
        <v/>
      </c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7">
        <f>IF(B161="",0,Settings!$B$2-B161)</f>
        <v/>
      </c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7">
        <f>IF(B162="",0,Settings!$B$2-B162)</f>
        <v/>
      </c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7">
        <f>IF(B163="",0,Settings!$B$2-B163)</f>
        <v/>
      </c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7">
        <f>IF(B164="",0,Settings!$B$2-B164)</f>
        <v/>
      </c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7">
        <f>IF(B165="",0,Settings!$B$2-B165)</f>
        <v/>
      </c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7">
        <f>IF(B166="",0,Settings!$B$2-B166)</f>
        <v/>
      </c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7">
        <f>IF(B167="",0,Settings!$B$2-B167)</f>
        <v/>
      </c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7">
        <f>IF(B168="",0,Settings!$B$2-B168)</f>
        <v/>
      </c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7">
        <f>IF(B169="",0,Settings!$B$2-B169)</f>
        <v/>
      </c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7">
        <f>IF(B170="",0,Settings!$B$2-B170)</f>
        <v/>
      </c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7">
        <f>IF(B171="",0,Settings!$B$2-B171)</f>
        <v/>
      </c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7">
        <f>IF(B172="",0,Settings!$B$2-B172)</f>
        <v/>
      </c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7">
        <f>IF(B173="",0,Settings!$B$2-B173)</f>
        <v/>
      </c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7">
        <f>IF(B174="",0,Settings!$B$2-B174)</f>
        <v/>
      </c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7">
        <f>IF(B175="",0,Settings!$B$2-B175)</f>
        <v/>
      </c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7">
        <f>IF(B176="",0,Settings!$B$2-B176)</f>
        <v/>
      </c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7">
        <f>IF(B177="",0,Settings!$B$2-B177)</f>
        <v/>
      </c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7">
        <f>IF(B178="",0,Settings!$B$2-B178)</f>
        <v/>
      </c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7">
        <f>IF(B179="",0,Settings!$B$2-B179)</f>
        <v/>
      </c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7">
        <f>IF(B180="",0,Settings!$B$2-B180)</f>
        <v/>
      </c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7">
        <f>IF(B181="",0,Settings!$B$2-B181)</f>
        <v/>
      </c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7">
        <f>IF(B182="",0,Settings!$B$2-B182)</f>
        <v/>
      </c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7">
        <f>IF(B183="",0,Settings!$B$2-B183)</f>
        <v/>
      </c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7">
        <f>IF(B184="",0,Settings!$B$2-B184)</f>
        <v/>
      </c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7">
        <f>IF(B185="",0,Settings!$B$2-B185)</f>
        <v/>
      </c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7">
        <f>IF(B186="",0,Settings!$B$2-B186)</f>
        <v/>
      </c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7">
        <f>IF(B187="",0,Settings!$B$2-B187)</f>
        <v/>
      </c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7">
        <f>IF(B188="",0,Settings!$B$2-B188)</f>
        <v/>
      </c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7">
        <f>IF(B189="",0,Settings!$B$2-B189)</f>
        <v/>
      </c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7">
        <f>IF(B190="",0,Settings!$B$2-B190)</f>
        <v/>
      </c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7">
        <f>IF(B191="",0,Settings!$B$2-B191)</f>
        <v/>
      </c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7">
        <f>IF(B192="",0,Settings!$B$2-B192)</f>
        <v/>
      </c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7">
        <f>IF(B193="",0,Settings!$B$2-B193)</f>
        <v/>
      </c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7">
        <f>IF(B194="",0,Settings!$B$2-B194)</f>
        <v/>
      </c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7">
        <f>IF(B195="",0,Settings!$B$2-B195)</f>
        <v/>
      </c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7">
        <f>IF(B196="",0,Settings!$B$2-B196)</f>
        <v/>
      </c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7">
        <f>IF(B197="",0,Settings!$B$2-B197)</f>
        <v/>
      </c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7">
        <f>IF(B198="",0,Settings!$B$2-B198)</f>
        <v/>
      </c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7">
        <f>IF(B199="",0,Settings!$B$2-B199)</f>
        <v/>
      </c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7">
        <f>IF(B200="",0,Settings!$B$2-B200)</f>
        <v/>
      </c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7">
        <f>IF(B201="",0,Settings!$B$2-B201)</f>
        <v/>
      </c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7">
        <f>IF(B202="",0,Settings!$B$2-B202)</f>
        <v/>
      </c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7">
        <f>IF(B203="",0,Settings!$B$2-B203)</f>
        <v/>
      </c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7">
        <f>IF(B204="",0,Settings!$B$2-B204)</f>
        <v/>
      </c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7">
        <f>IF(B205="",0,Settings!$B$2-B205)</f>
        <v/>
      </c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7">
        <f>IF(B206="",0,Settings!$B$2-B206)</f>
        <v/>
      </c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7">
        <f>IF(B207="",0,Settings!$B$2-B207)</f>
        <v/>
      </c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7">
        <f>IF(B208="",0,Settings!$B$2-B208)</f>
        <v/>
      </c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7">
        <f>IF(B209="",0,Settings!$B$2-B209)</f>
        <v/>
      </c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7">
        <f>IF(B210="",0,Settings!$B$2-B210)</f>
        <v/>
      </c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7">
        <f>IF(B211="",0,Settings!$B$2-B211)</f>
        <v/>
      </c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7">
        <f>IF(B212="",0,Settings!$B$2-B212)</f>
        <v/>
      </c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7">
        <f>IF(B213="",0,Settings!$B$2-B213)</f>
        <v/>
      </c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7">
        <f>IF(B214="",0,Settings!$B$2-B214)</f>
        <v/>
      </c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7">
        <f>IF(B215="",0,Settings!$B$2-B215)</f>
        <v/>
      </c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7">
        <f>IF(B216="",0,Settings!$B$2-B216)</f>
        <v/>
      </c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7">
        <f>IF(B217="",0,Settings!$B$2-B217)</f>
        <v/>
      </c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7">
        <f>IF(B218="",0,Settings!$B$2-B218)</f>
        <v/>
      </c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7">
        <f>IF(B219="",0,Settings!$B$2-B219)</f>
        <v/>
      </c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7">
        <f>IF(B220="",0,Settings!$B$2-B220)</f>
        <v/>
      </c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7">
        <f>IF(B221="",0,Settings!$B$2-B221)</f>
        <v/>
      </c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7">
        <f>IF(B222="",0,Settings!$B$2-B222)</f>
        <v/>
      </c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7">
        <f>IF(B223="",0,Settings!$B$2-B223)</f>
        <v/>
      </c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7">
        <f>IF(B224="",0,Settings!$B$2-B224)</f>
        <v/>
      </c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7">
        <f>IF(B225="",0,Settings!$B$2-B225)</f>
        <v/>
      </c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7">
        <f>IF(B226="",0,Settings!$B$2-B226)</f>
        <v/>
      </c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7">
        <f>IF(B227="",0,Settings!$B$2-B227)</f>
        <v/>
      </c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7">
        <f>IF(B228="",0,Settings!$B$2-B228)</f>
        <v/>
      </c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7">
        <f>IF(B229="",0,Settings!$B$2-B229)</f>
        <v/>
      </c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7">
        <f>IF(B230="",0,Settings!$B$2-B230)</f>
        <v/>
      </c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7">
        <f>IF(B231="",0,Settings!$B$2-B231)</f>
        <v/>
      </c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7">
        <f>IF(B232="",0,Settings!$B$2-B232)</f>
        <v/>
      </c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7">
        <f>IF(B233="",0,Settings!$B$2-B233)</f>
        <v/>
      </c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7">
        <f>IF(B234="",0,Settings!$B$2-B234)</f>
        <v/>
      </c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7">
        <f>IF(B235="",0,Settings!$B$2-B235)</f>
        <v/>
      </c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7">
        <f>IF(B236="",0,Settings!$B$2-B236)</f>
        <v/>
      </c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7">
        <f>IF(B237="",0,Settings!$B$2-B237)</f>
        <v/>
      </c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7">
        <f>IF(B238="",0,Settings!$B$2-B238)</f>
        <v/>
      </c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7">
        <f>IF(B239="",0,Settings!$B$2-B239)</f>
        <v/>
      </c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7">
        <f>IF(B240="",0,Settings!$B$2-B240)</f>
        <v/>
      </c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7">
        <f>IF(B241="",0,Settings!$B$2-B241)</f>
        <v/>
      </c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7">
        <f>IF(B242="",0,Settings!$B$2-B242)</f>
        <v/>
      </c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7">
        <f>IF(B243="",0,Settings!$B$2-B243)</f>
        <v/>
      </c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7">
        <f>IF(B244="",0,Settings!$B$2-B244)</f>
        <v/>
      </c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7">
        <f>IF(B245="",0,Settings!$B$2-B245)</f>
        <v/>
      </c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7">
        <f>IF(B246="",0,Settings!$B$2-B246)</f>
        <v/>
      </c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7">
        <f>IF(B247="",0,Settings!$B$2-B247)</f>
        <v/>
      </c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7">
        <f>IF(B248="",0,Settings!$B$2-B248)</f>
        <v/>
      </c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7">
        <f>IF(B249="",0,Settings!$B$2-B249)</f>
        <v/>
      </c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7">
        <f>IF(B250="",0,Settings!$B$2-B250)</f>
        <v/>
      </c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7">
        <f>IF(B251="",0,Settings!$B$2-B251)</f>
        <v/>
      </c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7">
        <f>IF(B252="",0,Settings!$B$2-B252)</f>
        <v/>
      </c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7">
        <f>IF(B253="",0,Settings!$B$2-B253)</f>
        <v/>
      </c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7">
        <f>IF(B254="",0,Settings!$B$2-B254)</f>
        <v/>
      </c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7">
        <f>IF(B255="",0,Settings!$B$2-B255)</f>
        <v/>
      </c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7">
        <f>IF(B256="",0,Settings!$B$2-B256)</f>
        <v/>
      </c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7">
        <f>IF(B257="",0,Settings!$B$2-B257)</f>
        <v/>
      </c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7">
        <f>IF(B258="",0,Settings!$B$2-B258)</f>
        <v/>
      </c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7">
        <f>IF(B259="",0,Settings!$B$2-B259)</f>
        <v/>
      </c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7">
        <f>IF(B260="",0,Settings!$B$2-B260)</f>
        <v/>
      </c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7">
        <f>IF(B261="",0,Settings!$B$2-B261)</f>
        <v/>
      </c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7">
        <f>IF(B262="",0,Settings!$B$2-B262)</f>
        <v/>
      </c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7">
        <f>IF(B263="",0,Settings!$B$2-B263)</f>
        <v/>
      </c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7">
        <f>IF(B264="",0,Settings!$B$2-B264)</f>
        <v/>
      </c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7">
        <f>IF(B265="",0,Settings!$B$2-B265)</f>
        <v/>
      </c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7">
        <f>IF(B266="",0,Settings!$B$2-B266)</f>
        <v/>
      </c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7">
        <f>IF(B267="",0,Settings!$B$2-B267)</f>
        <v/>
      </c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7">
        <f>IF(B268="",0,Settings!$B$2-B268)</f>
        <v/>
      </c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7">
        <f>IF(B269="",0,Settings!$B$2-B269)</f>
        <v/>
      </c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7">
        <f>IF(B270="",0,Settings!$B$2-B270)</f>
        <v/>
      </c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7">
        <f>IF(B271="",0,Settings!$B$2-B271)</f>
        <v/>
      </c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7">
        <f>IF(B272="",0,Settings!$B$2-B272)</f>
        <v/>
      </c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7">
        <f>IF(B273="",0,Settings!$B$2-B273)</f>
        <v/>
      </c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7">
        <f>IF(B274="",0,Settings!$B$2-B274)</f>
        <v/>
      </c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7">
        <f>IF(B275="",0,Settings!$B$2-B275)</f>
        <v/>
      </c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7">
        <f>IF(B276="",0,Settings!$B$2-B276)</f>
        <v/>
      </c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7">
        <f>IF(B277="",0,Settings!$B$2-B277)</f>
        <v/>
      </c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7">
        <f>IF(B278="",0,Settings!$B$2-B278)</f>
        <v/>
      </c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7">
        <f>IF(B279="",0,Settings!$B$2-B279)</f>
        <v/>
      </c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7">
        <f>IF(B280="",0,Settings!$B$2-B280)</f>
        <v/>
      </c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7">
        <f>IF(B281="",0,Settings!$B$2-B281)</f>
        <v/>
      </c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7">
        <f>IF(B282="",0,Settings!$B$2-B282)</f>
        <v/>
      </c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7">
        <f>IF(B283="",0,Settings!$B$2-B283)</f>
        <v/>
      </c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7">
        <f>IF(B284="",0,Settings!$B$2-B284)</f>
        <v/>
      </c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7">
        <f>IF(B285="",0,Settings!$B$2-B285)</f>
        <v/>
      </c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7">
        <f>IF(B286="",0,Settings!$B$2-B286)</f>
        <v/>
      </c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7">
        <f>IF(B287="",0,Settings!$B$2-B287)</f>
        <v/>
      </c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7">
        <f>IF(B288="",0,Settings!$B$2-B288)</f>
        <v/>
      </c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7">
        <f>IF(B289="",0,Settings!$B$2-B289)</f>
        <v/>
      </c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7">
        <f>IF(B290="",0,Settings!$B$2-B290)</f>
        <v/>
      </c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7">
        <f>IF(B291="",0,Settings!$B$2-B291)</f>
        <v/>
      </c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7">
        <f>IF(B292="",0,Settings!$B$2-B292)</f>
        <v/>
      </c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7">
        <f>IF(B293="",0,Settings!$B$2-B293)</f>
        <v/>
      </c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7">
        <f>IF(B294="",0,Settings!$B$2-B294)</f>
        <v/>
      </c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7">
        <f>IF(B295="",0,Settings!$B$2-B295)</f>
        <v/>
      </c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7">
        <f>IF(B296="",0,Settings!$B$2-B296)</f>
        <v/>
      </c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7">
        <f>IF(B297="",0,Settings!$B$2-B297)</f>
        <v/>
      </c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7">
        <f>IF(B298="",0,Settings!$B$2-B298)</f>
        <v/>
      </c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7">
        <f>IF(B299="",0,Settings!$B$2-B299)</f>
        <v/>
      </c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7">
        <f>IF(B300="",0,Settings!$B$2-B300)</f>
        <v/>
      </c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7">
        <f>IF(B301="",0,Settings!$B$2-B301)</f>
        <v/>
      </c>
    </row>
  </sheetData>
  <autoFilter ref="A1:L301"/>
  <conditionalFormatting sqref="L2:L301">
    <cfRule type="cellIs" priority="1" operator="greaterThan" dxfId="1">
      <formula>Settings!$B$4*31</formula>
    </cfRule>
  </conditionalFormatting>
  <dataValidations count="1">
    <dataValidation sqref="D2:D301" showDropDown="0" showInputMessage="0" showErrorMessage="0" allowBlank="1" type="list">
      <formula1>=Lists!$E$1:$E$4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4" customWidth="1" min="5" max="5"/>
    <col width="32" customWidth="1" min="6" max="6"/>
    <col width="40" customWidth="1" min="7" max="7"/>
  </cols>
  <sheetData>
    <row r="1">
      <c r="A1" s="11" t="inlineStr">
        <is>
          <t>Link ID</t>
        </is>
      </c>
      <c r="B1" s="11" t="inlineStr">
        <is>
          <t>Record ID</t>
        </is>
      </c>
      <c r="C1" s="11" t="inlineStr">
        <is>
          <t>Register</t>
        </is>
      </c>
      <c r="D1" s="11" t="inlineStr">
        <is>
          <t>Linked type</t>
        </is>
      </c>
      <c r="E1" s="11" t="inlineStr">
        <is>
          <t>Linked ID</t>
        </is>
      </c>
      <c r="F1" s="11" t="inlineStr">
        <is>
          <t>Linked name</t>
        </is>
      </c>
      <c r="G1" s="11" t="inlineStr">
        <is>
          <t>Note</t>
        </is>
      </c>
    </row>
    <row r="2">
      <c r="A2" s="12" t="inlineStr">
        <is>
          <t>L-001</t>
        </is>
      </c>
      <c r="B2" s="12" t="inlineStr">
        <is>
          <t>ADR-092</t>
        </is>
      </c>
      <c r="C2" s="12" t="inlineStr">
        <is>
          <t>Decisions</t>
        </is>
      </c>
      <c r="D2" s="12" t="inlineStr">
        <is>
          <t>Object</t>
        </is>
      </c>
      <c r="E2" s="12" t="inlineStr">
        <is>
          <t>OBJ-07</t>
        </is>
      </c>
      <c r="F2" s="12" t="inlineStr">
        <is>
          <t>Price</t>
        </is>
      </c>
      <c r="G2" s="14" t="inlineStr"/>
    </row>
    <row r="3">
      <c r="A3" s="12" t="inlineStr">
        <is>
          <t>L-002</t>
        </is>
      </c>
      <c r="B3" s="12" t="inlineStr">
        <is>
          <t>ADR-092</t>
        </is>
      </c>
      <c r="C3" s="12" t="inlineStr">
        <is>
          <t>Decisions</t>
        </is>
      </c>
      <c r="D3" s="12" t="inlineStr">
        <is>
          <t>Application</t>
        </is>
      </c>
      <c r="E3" s="12" t="inlineStr">
        <is>
          <t>APP-002</t>
        </is>
      </c>
      <c r="F3" s="12" t="inlineStr">
        <is>
          <t>Core ERP</t>
        </is>
      </c>
      <c r="G3" s="12" t="inlineStr">
        <is>
          <t>loses mastership</t>
        </is>
      </c>
    </row>
    <row r="4">
      <c r="A4" s="12" t="inlineStr">
        <is>
          <t>L-003</t>
        </is>
      </c>
      <c r="B4" s="12" t="inlineStr">
        <is>
          <t>ADR-092</t>
        </is>
      </c>
      <c r="C4" s="12" t="inlineStr">
        <is>
          <t>Decisions</t>
        </is>
      </c>
      <c r="D4" s="12" t="inlineStr">
        <is>
          <t>Application</t>
        </is>
      </c>
      <c r="E4" s="12" t="inlineStr">
        <is>
          <t>APP-131</t>
        </is>
      </c>
      <c r="F4" s="12" t="inlineStr">
        <is>
          <t>Pricing service</t>
        </is>
      </c>
      <c r="G4" s="12" t="inlineStr">
        <is>
          <t>gains mastership</t>
        </is>
      </c>
    </row>
    <row r="5">
      <c r="A5" s="12" t="inlineStr">
        <is>
          <t>L-004</t>
        </is>
      </c>
      <c r="B5" s="12" t="inlineStr">
        <is>
          <t>ADR-092</t>
        </is>
      </c>
      <c r="C5" s="12" t="inlineStr">
        <is>
          <t>Decisions</t>
        </is>
      </c>
      <c r="D5" s="12" t="inlineStr">
        <is>
          <t>Domain</t>
        </is>
      </c>
      <c r="E5" s="12" t="inlineStr">
        <is>
          <t>DOM-05</t>
        </is>
      </c>
      <c r="F5" s="12" t="inlineStr">
        <is>
          <t>Pricing and promotion</t>
        </is>
      </c>
      <c r="G5" s="14" t="inlineStr"/>
    </row>
    <row r="6">
      <c r="A6" s="12" t="inlineStr">
        <is>
          <t>L-005</t>
        </is>
      </c>
      <c r="B6" s="12" t="inlineStr">
        <is>
          <t>EXC-11</t>
        </is>
      </c>
      <c r="C6" s="12" t="inlineStr">
        <is>
          <t>Exceptions</t>
        </is>
      </c>
      <c r="D6" s="12" t="inlineStr">
        <is>
          <t>Object</t>
        </is>
      </c>
      <c r="E6" s="12" t="inlineStr">
        <is>
          <t>OBJ-07</t>
        </is>
      </c>
      <c r="F6" s="12" t="inlineStr">
        <is>
          <t>Price</t>
        </is>
      </c>
      <c r="G6" s="12" t="inlineStr">
        <is>
          <t>dual write window</t>
        </is>
      </c>
    </row>
    <row r="7">
      <c r="A7" s="12" t="inlineStr">
        <is>
          <t>L-006</t>
        </is>
      </c>
      <c r="B7" s="12" t="inlineStr">
        <is>
          <t>ADR-063</t>
        </is>
      </c>
      <c r="C7" s="12" t="inlineStr">
        <is>
          <t>Decisions</t>
        </is>
      </c>
      <c r="D7" s="12" t="inlineStr">
        <is>
          <t>Interface</t>
        </is>
      </c>
      <c r="E7" s="12" t="inlineStr">
        <is>
          <t>INT-010</t>
        </is>
      </c>
      <c r="F7" s="12" t="inlineStr">
        <is>
          <t>Old finance interface</t>
        </is>
      </c>
      <c r="G7" s="12" t="inlineStr">
        <is>
          <t>the one this decision forbids</t>
        </is>
      </c>
    </row>
    <row r="8">
      <c r="A8" s="12" t="inlineStr">
        <is>
          <t>L-007</t>
        </is>
      </c>
      <c r="B8" s="12" t="inlineStr">
        <is>
          <t>ADR-063</t>
        </is>
      </c>
      <c r="C8" s="12" t="inlineStr">
        <is>
          <t>Decisions</t>
        </is>
      </c>
      <c r="D8" s="12" t="inlineStr">
        <is>
          <t>Domain</t>
        </is>
      </c>
      <c r="E8" s="12" t="inlineStr">
        <is>
          <t>DOM-10</t>
        </is>
      </c>
      <c r="F8" s="12" t="inlineStr">
        <is>
          <t>Corporate platforms</t>
        </is>
      </c>
      <c r="G8" s="14" t="inlineStr"/>
    </row>
    <row r="9">
      <c r="A9" s="12" t="inlineStr">
        <is>
          <t>L-008</t>
        </is>
      </c>
      <c r="B9" s="12" t="inlineStr">
        <is>
          <t>ADR-071</t>
        </is>
      </c>
      <c r="C9" s="12" t="inlineStr">
        <is>
          <t>Decisions</t>
        </is>
      </c>
      <c r="D9" s="12" t="inlineStr">
        <is>
          <t>Object</t>
        </is>
      </c>
      <c r="E9" s="12" t="inlineStr">
        <is>
          <t>OBJ-01</t>
        </is>
      </c>
      <c r="F9" s="12" t="inlineStr">
        <is>
          <t>Customer</t>
        </is>
      </c>
      <c r="G9" s="14" t="inlineStr"/>
    </row>
    <row r="10">
      <c r="A10" s="12" t="inlineStr">
        <is>
          <t>L-009</t>
        </is>
      </c>
      <c r="B10" s="12" t="inlineStr">
        <is>
          <t>ADR-071</t>
        </is>
      </c>
      <c r="C10" s="12" t="inlineStr">
        <is>
          <t>Decisions</t>
        </is>
      </c>
      <c r="D10" s="12" t="inlineStr">
        <is>
          <t>Application</t>
        </is>
      </c>
      <c r="E10" s="12" t="inlineStr">
        <is>
          <t>APP-090</t>
        </is>
      </c>
      <c r="F10" s="12" t="inlineStr">
        <is>
          <t>Campaign tool</t>
        </is>
      </c>
      <c r="G10" s="14" t="inlineStr"/>
    </row>
    <row r="11">
      <c r="A11" s="12" t="inlineStr">
        <is>
          <t>L-010</t>
        </is>
      </c>
      <c r="B11" s="12" t="inlineStr">
        <is>
          <t>CLS-014</t>
        </is>
      </c>
      <c r="C11" s="12" t="inlineStr">
        <is>
          <t>Classifications</t>
        </is>
      </c>
      <c r="D11" s="12" t="inlineStr">
        <is>
          <t>Application</t>
        </is>
      </c>
      <c r="E11" s="12" t="inlineStr">
        <is>
          <t>APP-077</t>
        </is>
      </c>
      <c r="F11" s="12" t="inlineStr">
        <is>
          <t>Data platform</t>
        </is>
      </c>
      <c r="G11" s="14" t="inlineStr"/>
    </row>
    <row r="12">
      <c r="A12" s="12" t="inlineStr">
        <is>
          <t>L-011</t>
        </is>
      </c>
      <c r="B12" s="12" t="inlineStr">
        <is>
          <t>CLS-017</t>
        </is>
      </c>
      <c r="C12" s="12" t="inlineStr">
        <is>
          <t>Classifications</t>
        </is>
      </c>
      <c r="D12" s="12" t="inlineStr">
        <is>
          <t>Object</t>
        </is>
      </c>
      <c r="E12" s="12" t="inlineStr">
        <is>
          <t>OBJ-01</t>
        </is>
      </c>
      <c r="F12" s="12" t="inlineStr">
        <is>
          <t>Customer</t>
        </is>
      </c>
      <c r="G12" s="12" t="inlineStr">
        <is>
          <t>residency</t>
        </is>
      </c>
    </row>
    <row r="13">
      <c r="A13" s="12" t="inlineStr">
        <is>
          <t>L-012</t>
        </is>
      </c>
      <c r="B13" s="12" t="inlineStr">
        <is>
          <t>CLS-017</t>
        </is>
      </c>
      <c r="C13" s="12" t="inlineStr">
        <is>
          <t>Classifications</t>
        </is>
      </c>
      <c r="D13" s="12" t="inlineStr">
        <is>
          <t>IT component</t>
        </is>
      </c>
      <c r="E13" s="12" t="inlineStr">
        <is>
          <t>ITC-052</t>
        </is>
      </c>
      <c r="F13" s="12" t="inlineStr">
        <is>
          <t>Market G database, in-country</t>
        </is>
      </c>
      <c r="G13" s="14" t="inlineStr"/>
    </row>
    <row r="14">
      <c r="A14" s="12" t="inlineStr">
        <is>
          <t>L-013</t>
        </is>
      </c>
      <c r="B14" s="12" t="inlineStr">
        <is>
          <t>SEL-07</t>
        </is>
      </c>
      <c r="C14" s="12" t="inlineStr">
        <is>
          <t>Decisions</t>
        </is>
      </c>
      <c r="D14" s="12" t="inlineStr">
        <is>
          <t>Project</t>
        </is>
      </c>
      <c r="E14" s="12" t="inlineStr">
        <is>
          <t>PRJ-0426</t>
        </is>
      </c>
      <c r="F14" s="12" t="inlineStr">
        <is>
          <t>Replace the market D warehouse system</t>
        </is>
      </c>
      <c r="G14" s="14" t="inlineStr"/>
    </row>
    <row r="15">
      <c r="A15" s="12" t="inlineStr">
        <is>
          <t>L-014</t>
        </is>
      </c>
      <c r="B15" s="12" t="inlineStr">
        <is>
          <t>SEL-07</t>
        </is>
      </c>
      <c r="C15" s="12" t="inlineStr">
        <is>
          <t>Decisions</t>
        </is>
      </c>
      <c r="D15" s="12" t="inlineStr">
        <is>
          <t>Application</t>
        </is>
      </c>
      <c r="E15" s="12" t="inlineStr">
        <is>
          <t>APP-119</t>
        </is>
      </c>
      <c r="F15" s="12" t="inlineStr">
        <is>
          <t>Market D warehouse system</t>
        </is>
      </c>
      <c r="G15" s="14" t="inlineStr"/>
    </row>
    <row r="16">
      <c r="A16" s="12" t="inlineStr">
        <is>
          <t>L-015</t>
        </is>
      </c>
      <c r="B16" s="12" t="inlineStr">
        <is>
          <t>EXC-09</t>
        </is>
      </c>
      <c r="C16" s="12" t="inlineStr">
        <is>
          <t>Exceptions</t>
        </is>
      </c>
      <c r="D16" s="12" t="inlineStr">
        <is>
          <t>Project</t>
        </is>
      </c>
      <c r="E16" s="12" t="inlineStr">
        <is>
          <t>PRJ-0418</t>
        </is>
      </c>
      <c r="F16" s="12" t="inlineStr">
        <is>
          <t>Supplier onboarding for market D</t>
        </is>
      </c>
      <c r="G16" s="12" t="inlineStr">
        <is>
          <t>the project that closed it</t>
        </is>
      </c>
    </row>
    <row r="17">
      <c r="A17" s="12" t="inlineStr">
        <is>
          <t>L-016</t>
        </is>
      </c>
      <c r="B17" s="12" t="inlineStr">
        <is>
          <t>EXC-09</t>
        </is>
      </c>
      <c r="C17" s="12" t="inlineStr">
        <is>
          <t>Exceptions</t>
        </is>
      </c>
      <c r="D17" s="12" t="inlineStr">
        <is>
          <t>Object</t>
        </is>
      </c>
      <c r="E17" s="12" t="inlineStr">
        <is>
          <t>OBJ-04</t>
        </is>
      </c>
      <c r="F17" s="12" t="inlineStr">
        <is>
          <t>Supplier</t>
        </is>
      </c>
      <c r="G17" s="14" t="inlineStr"/>
    </row>
    <row r="18">
      <c r="A18" s="12" t="inlineStr">
        <is>
          <t>L-017</t>
        </is>
      </c>
      <c r="B18" s="12" t="inlineStr">
        <is>
          <t>ASM-2026-Q2-APP-118</t>
        </is>
      </c>
      <c r="C18" s="12" t="inlineStr">
        <is>
          <t>Assessments</t>
        </is>
      </c>
      <c r="D18" s="12" t="inlineStr">
        <is>
          <t>Application</t>
        </is>
      </c>
      <c r="E18" s="12" t="inlineStr">
        <is>
          <t>APP-118</t>
        </is>
      </c>
      <c r="F18" s="12" t="inlineStr">
        <is>
          <t>Market D supplier register</t>
        </is>
      </c>
      <c r="G18" s="14" t="inlineStr"/>
    </row>
    <row r="19">
      <c r="A19" s="12" t="inlineStr">
        <is>
          <t>L-018</t>
        </is>
      </c>
      <c r="B19" s="12" t="inlineStr">
        <is>
          <t>DSP-22</t>
        </is>
      </c>
      <c r="C19" s="12" t="inlineStr">
        <is>
          <t>Decisions</t>
        </is>
      </c>
      <c r="D19" s="12" t="inlineStr">
        <is>
          <t>Domain</t>
        </is>
      </c>
      <c r="E19" s="12" t="inlineStr">
        <is>
          <t>DOM-06</t>
        </is>
      </c>
      <c r="F19" s="12" t="inlineStr">
        <is>
          <t>Logistics</t>
        </is>
      </c>
      <c r="G19" s="14" t="inlineStr"/>
    </row>
    <row r="20">
      <c r="A20" s="12" t="inlineStr">
        <is>
          <t>L-019</t>
        </is>
      </c>
      <c r="B20" s="12" t="inlineStr">
        <is>
          <t>DSP-22</t>
        </is>
      </c>
      <c r="C20" s="12" t="inlineStr">
        <is>
          <t>Decisions</t>
        </is>
      </c>
      <c r="D20" s="12" t="inlineStr">
        <is>
          <t>Application</t>
        </is>
      </c>
      <c r="E20" s="12" t="inlineStr">
        <is>
          <t>APP-119</t>
        </is>
      </c>
      <c r="F20" s="12" t="inlineStr">
        <is>
          <t>Market D warehouse system</t>
        </is>
      </c>
      <c r="G20" s="14" t="inlineStr"/>
    </row>
    <row r="21">
      <c r="A21" s="12" t="inlineStr">
        <is>
          <t>L-020</t>
        </is>
      </c>
      <c r="B21" s="12" t="inlineStr">
        <is>
          <t>ADR-088</t>
        </is>
      </c>
      <c r="C21" s="12" t="inlineStr">
        <is>
          <t>Decisions</t>
        </is>
      </c>
      <c r="D21" s="12" t="inlineStr">
        <is>
          <t>Domain</t>
        </is>
      </c>
      <c r="E21" s="12" t="inlineStr">
        <is>
          <t>DOM-10</t>
        </is>
      </c>
      <c r="F21" s="12" t="inlineStr">
        <is>
          <t>Corporate platforms</t>
        </is>
      </c>
      <c r="G21" s="14" t="inlineStr"/>
    </row>
    <row r="22">
      <c r="A22" s="12" t="inlineStr">
        <is>
          <t>L-021</t>
        </is>
      </c>
      <c r="B22" s="12" t="inlineStr">
        <is>
          <t>ADR-088</t>
        </is>
      </c>
      <c r="C22" s="12" t="inlineStr">
        <is>
          <t>Decisions</t>
        </is>
      </c>
      <c r="D22" s="12" t="inlineStr">
        <is>
          <t>Interface</t>
        </is>
      </c>
      <c r="E22" s="12" t="inlineStr">
        <is>
          <t>INT-060</t>
        </is>
      </c>
      <c r="F22" s="12" t="inlineStr">
        <is>
          <t>Customer events, first producer</t>
        </is>
      </c>
      <c r="G22" s="14" t="inlineStr"/>
    </row>
    <row r="23">
      <c r="A23" s="12" t="inlineStr">
        <is>
          <t>L-022</t>
        </is>
      </c>
      <c r="B23" s="12" t="inlineStr">
        <is>
          <t>ADR-018</t>
        </is>
      </c>
      <c r="C23" s="12" t="inlineStr">
        <is>
          <t>Decisions</t>
        </is>
      </c>
      <c r="D23" s="12" t="inlineStr">
        <is>
          <t>Object</t>
        </is>
      </c>
      <c r="E23" s="12" t="inlineStr">
        <is>
          <t>OBJ-07</t>
        </is>
      </c>
      <c r="F23" s="12" t="inlineStr">
        <is>
          <t>Price</t>
        </is>
      </c>
      <c r="G23" s="14" t="inlineStr"/>
    </row>
    <row r="24">
      <c r="A24" s="12" t="inlineStr">
        <is>
          <t>L-023</t>
        </is>
      </c>
      <c r="B24" s="12" t="inlineStr">
        <is>
          <t>ADR-041</t>
        </is>
      </c>
      <c r="C24" s="12" t="inlineStr">
        <is>
          <t>Decisions</t>
        </is>
      </c>
      <c r="D24" s="12" t="inlineStr">
        <is>
          <t>Object</t>
        </is>
      </c>
      <c r="E24" s="12" t="inlineStr">
        <is>
          <t>OBJ-07</t>
        </is>
      </c>
      <c r="F24" s="12" t="inlineStr">
        <is>
          <t>Price</t>
        </is>
      </c>
      <c r="G24" s="14" t="inlineStr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  <row r="32">
      <c r="A32" s="14" t="n"/>
      <c r="B32" s="14" t="n"/>
      <c r="C32" s="14" t="n"/>
      <c r="D32" s="14" t="n"/>
      <c r="E32" s="14" t="n"/>
      <c r="F32" s="14" t="n"/>
      <c r="G32" s="14" t="n"/>
    </row>
    <row r="33">
      <c r="A33" s="14" t="n"/>
      <c r="B33" s="14" t="n"/>
      <c r="C33" s="14" t="n"/>
      <c r="D33" s="14" t="n"/>
      <c r="E33" s="14" t="n"/>
      <c r="F33" s="14" t="n"/>
      <c r="G33" s="14" t="n"/>
    </row>
    <row r="34">
      <c r="A34" s="14" t="n"/>
      <c r="B34" s="14" t="n"/>
      <c r="C34" s="14" t="n"/>
      <c r="D34" s="14" t="n"/>
      <c r="E34" s="14" t="n"/>
      <c r="F34" s="14" t="n"/>
      <c r="G34" s="14" t="n"/>
    </row>
    <row r="35">
      <c r="A35" s="14" t="n"/>
      <c r="B35" s="14" t="n"/>
      <c r="C35" s="14" t="n"/>
      <c r="D35" s="14" t="n"/>
      <c r="E35" s="14" t="n"/>
      <c r="F35" s="14" t="n"/>
      <c r="G35" s="14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  <row r="40">
      <c r="A40" s="14" t="n"/>
      <c r="B40" s="14" t="n"/>
      <c r="C40" s="14" t="n"/>
      <c r="D40" s="14" t="n"/>
      <c r="E40" s="14" t="n"/>
      <c r="F40" s="14" t="n"/>
      <c r="G40" s="14" t="n"/>
    </row>
    <row r="41">
      <c r="A41" s="14" t="n"/>
      <c r="B41" s="14" t="n"/>
      <c r="C41" s="14" t="n"/>
      <c r="D41" s="14" t="n"/>
      <c r="E41" s="14" t="n"/>
      <c r="F41" s="14" t="n"/>
      <c r="G41" s="14" t="n"/>
    </row>
    <row r="42">
      <c r="A42" s="14" t="n"/>
      <c r="B42" s="14" t="n"/>
      <c r="C42" s="14" t="n"/>
      <c r="D42" s="14" t="n"/>
      <c r="E42" s="14" t="n"/>
      <c r="F42" s="14" t="n"/>
      <c r="G42" s="14" t="n"/>
    </row>
    <row r="43">
      <c r="A43" s="14" t="n"/>
      <c r="B43" s="14" t="n"/>
      <c r="C43" s="14" t="n"/>
      <c r="D43" s="14" t="n"/>
      <c r="E43" s="14" t="n"/>
      <c r="F43" s="14" t="n"/>
      <c r="G43" s="14" t="n"/>
    </row>
    <row r="44">
      <c r="A44" s="14" t="n"/>
      <c r="B44" s="14" t="n"/>
      <c r="C44" s="14" t="n"/>
      <c r="D44" s="14" t="n"/>
      <c r="E44" s="14" t="n"/>
      <c r="F44" s="14" t="n"/>
      <c r="G44" s="14" t="n"/>
    </row>
    <row r="45">
      <c r="A45" s="14" t="n"/>
      <c r="B45" s="14" t="n"/>
      <c r="C45" s="14" t="n"/>
      <c r="D45" s="14" t="n"/>
      <c r="E45" s="14" t="n"/>
      <c r="F45" s="14" t="n"/>
      <c r="G45" s="14" t="n"/>
    </row>
    <row r="46">
      <c r="A46" s="14" t="n"/>
      <c r="B46" s="14" t="n"/>
      <c r="C46" s="14" t="n"/>
      <c r="D46" s="14" t="n"/>
      <c r="E46" s="14" t="n"/>
      <c r="F46" s="14" t="n"/>
      <c r="G46" s="14" t="n"/>
    </row>
    <row r="47">
      <c r="A47" s="14" t="n"/>
      <c r="B47" s="14" t="n"/>
      <c r="C47" s="14" t="n"/>
      <c r="D47" s="14" t="n"/>
      <c r="E47" s="14" t="n"/>
      <c r="F47" s="14" t="n"/>
      <c r="G47" s="14" t="n"/>
    </row>
    <row r="48">
      <c r="A48" s="14" t="n"/>
      <c r="B48" s="14" t="n"/>
      <c r="C48" s="14" t="n"/>
      <c r="D48" s="14" t="n"/>
      <c r="E48" s="14" t="n"/>
      <c r="F48" s="14" t="n"/>
      <c r="G48" s="14" t="n"/>
    </row>
    <row r="49">
      <c r="A49" s="14" t="n"/>
      <c r="B49" s="14" t="n"/>
      <c r="C49" s="14" t="n"/>
      <c r="D49" s="14" t="n"/>
      <c r="E49" s="14" t="n"/>
      <c r="F49" s="14" t="n"/>
      <c r="G49" s="14" t="n"/>
    </row>
    <row r="50">
      <c r="A50" s="14" t="n"/>
      <c r="B50" s="14" t="n"/>
      <c r="C50" s="14" t="n"/>
      <c r="D50" s="14" t="n"/>
      <c r="E50" s="14" t="n"/>
      <c r="F50" s="14" t="n"/>
      <c r="G50" s="14" t="n"/>
    </row>
    <row r="51">
      <c r="A51" s="14" t="n"/>
      <c r="B51" s="14" t="n"/>
      <c r="C51" s="14" t="n"/>
      <c r="D51" s="14" t="n"/>
      <c r="E51" s="14" t="n"/>
      <c r="F51" s="14" t="n"/>
      <c r="G51" s="14" t="n"/>
    </row>
    <row r="52">
      <c r="A52" s="14" t="n"/>
      <c r="B52" s="14" t="n"/>
      <c r="C52" s="14" t="n"/>
      <c r="D52" s="14" t="n"/>
      <c r="E52" s="14" t="n"/>
      <c r="F52" s="14" t="n"/>
      <c r="G52" s="14" t="n"/>
    </row>
    <row r="53">
      <c r="A53" s="14" t="n"/>
      <c r="B53" s="14" t="n"/>
      <c r="C53" s="14" t="n"/>
      <c r="D53" s="14" t="n"/>
      <c r="E53" s="14" t="n"/>
      <c r="F53" s="14" t="n"/>
      <c r="G53" s="14" t="n"/>
    </row>
    <row r="54">
      <c r="A54" s="14" t="n"/>
      <c r="B54" s="14" t="n"/>
      <c r="C54" s="14" t="n"/>
      <c r="D54" s="14" t="n"/>
      <c r="E54" s="14" t="n"/>
      <c r="F54" s="14" t="n"/>
      <c r="G54" s="14" t="n"/>
    </row>
    <row r="55">
      <c r="A55" s="14" t="n"/>
      <c r="B55" s="14" t="n"/>
      <c r="C55" s="14" t="n"/>
      <c r="D55" s="14" t="n"/>
      <c r="E55" s="14" t="n"/>
      <c r="F55" s="14" t="n"/>
      <c r="G55" s="14" t="n"/>
    </row>
    <row r="56">
      <c r="A56" s="14" t="n"/>
      <c r="B56" s="14" t="n"/>
      <c r="C56" s="14" t="n"/>
      <c r="D56" s="14" t="n"/>
      <c r="E56" s="14" t="n"/>
      <c r="F56" s="14" t="n"/>
      <c r="G56" s="14" t="n"/>
    </row>
    <row r="57">
      <c r="A57" s="14" t="n"/>
      <c r="B57" s="14" t="n"/>
      <c r="C57" s="14" t="n"/>
      <c r="D57" s="14" t="n"/>
      <c r="E57" s="14" t="n"/>
      <c r="F57" s="14" t="n"/>
      <c r="G57" s="14" t="n"/>
    </row>
    <row r="58">
      <c r="A58" s="14" t="n"/>
      <c r="B58" s="14" t="n"/>
      <c r="C58" s="14" t="n"/>
      <c r="D58" s="14" t="n"/>
      <c r="E58" s="14" t="n"/>
      <c r="F58" s="14" t="n"/>
      <c r="G58" s="14" t="n"/>
    </row>
    <row r="59">
      <c r="A59" s="14" t="n"/>
      <c r="B59" s="14" t="n"/>
      <c r="C59" s="14" t="n"/>
      <c r="D59" s="14" t="n"/>
      <c r="E59" s="14" t="n"/>
      <c r="F59" s="14" t="n"/>
      <c r="G59" s="14" t="n"/>
    </row>
    <row r="60">
      <c r="A60" s="14" t="n"/>
      <c r="B60" s="14" t="n"/>
      <c r="C60" s="14" t="n"/>
      <c r="D60" s="14" t="n"/>
      <c r="E60" s="14" t="n"/>
      <c r="F60" s="14" t="n"/>
      <c r="G60" s="14" t="n"/>
    </row>
    <row r="61">
      <c r="A61" s="14" t="n"/>
      <c r="B61" s="14" t="n"/>
      <c r="C61" s="14" t="n"/>
      <c r="D61" s="14" t="n"/>
      <c r="E61" s="14" t="n"/>
      <c r="F61" s="14" t="n"/>
      <c r="G61" s="14" t="n"/>
    </row>
    <row r="62">
      <c r="A62" s="14" t="n"/>
      <c r="B62" s="14" t="n"/>
      <c r="C62" s="14" t="n"/>
      <c r="D62" s="14" t="n"/>
      <c r="E62" s="14" t="n"/>
      <c r="F62" s="14" t="n"/>
      <c r="G62" s="14" t="n"/>
    </row>
    <row r="63">
      <c r="A63" s="14" t="n"/>
      <c r="B63" s="14" t="n"/>
      <c r="C63" s="14" t="n"/>
      <c r="D63" s="14" t="n"/>
      <c r="E63" s="14" t="n"/>
      <c r="F63" s="14" t="n"/>
      <c r="G63" s="14" t="n"/>
    </row>
    <row r="64">
      <c r="A64" s="14" t="n"/>
      <c r="B64" s="14" t="n"/>
      <c r="C64" s="14" t="n"/>
      <c r="D64" s="14" t="n"/>
      <c r="E64" s="14" t="n"/>
      <c r="F64" s="14" t="n"/>
      <c r="G64" s="14" t="n"/>
    </row>
    <row r="65">
      <c r="A65" s="14" t="n"/>
      <c r="B65" s="14" t="n"/>
      <c r="C65" s="14" t="n"/>
      <c r="D65" s="14" t="n"/>
      <c r="E65" s="14" t="n"/>
      <c r="F65" s="14" t="n"/>
      <c r="G65" s="14" t="n"/>
    </row>
    <row r="66">
      <c r="A66" s="14" t="n"/>
      <c r="B66" s="14" t="n"/>
      <c r="C66" s="14" t="n"/>
      <c r="D66" s="14" t="n"/>
      <c r="E66" s="14" t="n"/>
      <c r="F66" s="14" t="n"/>
      <c r="G66" s="14" t="n"/>
    </row>
    <row r="67">
      <c r="A67" s="14" t="n"/>
      <c r="B67" s="14" t="n"/>
      <c r="C67" s="14" t="n"/>
      <c r="D67" s="14" t="n"/>
      <c r="E67" s="14" t="n"/>
      <c r="F67" s="14" t="n"/>
      <c r="G67" s="14" t="n"/>
    </row>
    <row r="68">
      <c r="A68" s="14" t="n"/>
      <c r="B68" s="14" t="n"/>
      <c r="C68" s="14" t="n"/>
      <c r="D68" s="14" t="n"/>
      <c r="E68" s="14" t="n"/>
      <c r="F68" s="14" t="n"/>
      <c r="G68" s="14" t="n"/>
    </row>
    <row r="69">
      <c r="A69" s="14" t="n"/>
      <c r="B69" s="14" t="n"/>
      <c r="C69" s="14" t="n"/>
      <c r="D69" s="14" t="n"/>
      <c r="E69" s="14" t="n"/>
      <c r="F69" s="14" t="n"/>
      <c r="G69" s="14" t="n"/>
    </row>
    <row r="70">
      <c r="A70" s="14" t="n"/>
      <c r="B70" s="14" t="n"/>
      <c r="C70" s="14" t="n"/>
      <c r="D70" s="14" t="n"/>
      <c r="E70" s="14" t="n"/>
      <c r="F70" s="14" t="n"/>
      <c r="G70" s="14" t="n"/>
    </row>
    <row r="71">
      <c r="A71" s="14" t="n"/>
      <c r="B71" s="14" t="n"/>
      <c r="C71" s="14" t="n"/>
      <c r="D71" s="14" t="n"/>
      <c r="E71" s="14" t="n"/>
      <c r="F71" s="14" t="n"/>
      <c r="G71" s="14" t="n"/>
    </row>
    <row r="72">
      <c r="A72" s="14" t="n"/>
      <c r="B72" s="14" t="n"/>
      <c r="C72" s="14" t="n"/>
      <c r="D72" s="14" t="n"/>
      <c r="E72" s="14" t="n"/>
      <c r="F72" s="14" t="n"/>
      <c r="G72" s="14" t="n"/>
    </row>
    <row r="73">
      <c r="A73" s="14" t="n"/>
      <c r="B73" s="14" t="n"/>
      <c r="C73" s="14" t="n"/>
      <c r="D73" s="14" t="n"/>
      <c r="E73" s="14" t="n"/>
      <c r="F73" s="14" t="n"/>
      <c r="G73" s="14" t="n"/>
    </row>
    <row r="74">
      <c r="A74" s="14" t="n"/>
      <c r="B74" s="14" t="n"/>
      <c r="C74" s="14" t="n"/>
      <c r="D74" s="14" t="n"/>
      <c r="E74" s="14" t="n"/>
      <c r="F74" s="14" t="n"/>
      <c r="G74" s="14" t="n"/>
    </row>
    <row r="75">
      <c r="A75" s="14" t="n"/>
      <c r="B75" s="14" t="n"/>
      <c r="C75" s="14" t="n"/>
      <c r="D75" s="14" t="n"/>
      <c r="E75" s="14" t="n"/>
      <c r="F75" s="14" t="n"/>
      <c r="G75" s="14" t="n"/>
    </row>
    <row r="76">
      <c r="A76" s="14" t="n"/>
      <c r="B76" s="14" t="n"/>
      <c r="C76" s="14" t="n"/>
      <c r="D76" s="14" t="n"/>
      <c r="E76" s="14" t="n"/>
      <c r="F76" s="14" t="n"/>
      <c r="G76" s="14" t="n"/>
    </row>
    <row r="77">
      <c r="A77" s="14" t="n"/>
      <c r="B77" s="14" t="n"/>
      <c r="C77" s="14" t="n"/>
      <c r="D77" s="14" t="n"/>
      <c r="E77" s="14" t="n"/>
      <c r="F77" s="14" t="n"/>
      <c r="G77" s="14" t="n"/>
    </row>
    <row r="78">
      <c r="A78" s="14" t="n"/>
      <c r="B78" s="14" t="n"/>
      <c r="C78" s="14" t="n"/>
      <c r="D78" s="14" t="n"/>
      <c r="E78" s="14" t="n"/>
      <c r="F78" s="14" t="n"/>
      <c r="G78" s="14" t="n"/>
    </row>
    <row r="79">
      <c r="A79" s="14" t="n"/>
      <c r="B79" s="14" t="n"/>
      <c r="C79" s="14" t="n"/>
      <c r="D79" s="14" t="n"/>
      <c r="E79" s="14" t="n"/>
      <c r="F79" s="14" t="n"/>
      <c r="G79" s="14" t="n"/>
    </row>
    <row r="80">
      <c r="A80" s="14" t="n"/>
      <c r="B80" s="14" t="n"/>
      <c r="C80" s="14" t="n"/>
      <c r="D80" s="14" t="n"/>
      <c r="E80" s="14" t="n"/>
      <c r="F80" s="14" t="n"/>
      <c r="G80" s="14" t="n"/>
    </row>
    <row r="81">
      <c r="A81" s="14" t="n"/>
      <c r="B81" s="14" t="n"/>
      <c r="C81" s="14" t="n"/>
      <c r="D81" s="14" t="n"/>
      <c r="E81" s="14" t="n"/>
      <c r="F81" s="14" t="n"/>
      <c r="G81" s="14" t="n"/>
    </row>
    <row r="82">
      <c r="A82" s="14" t="n"/>
      <c r="B82" s="14" t="n"/>
      <c r="C82" s="14" t="n"/>
      <c r="D82" s="14" t="n"/>
      <c r="E82" s="14" t="n"/>
      <c r="F82" s="14" t="n"/>
      <c r="G82" s="14" t="n"/>
    </row>
    <row r="83">
      <c r="A83" s="14" t="n"/>
      <c r="B83" s="14" t="n"/>
      <c r="C83" s="14" t="n"/>
      <c r="D83" s="14" t="n"/>
      <c r="E83" s="14" t="n"/>
      <c r="F83" s="14" t="n"/>
      <c r="G83" s="14" t="n"/>
    </row>
    <row r="84">
      <c r="A84" s="14" t="n"/>
      <c r="B84" s="14" t="n"/>
      <c r="C84" s="14" t="n"/>
      <c r="D84" s="14" t="n"/>
      <c r="E84" s="14" t="n"/>
      <c r="F84" s="14" t="n"/>
      <c r="G84" s="14" t="n"/>
    </row>
    <row r="85">
      <c r="A85" s="14" t="n"/>
      <c r="B85" s="14" t="n"/>
      <c r="C85" s="14" t="n"/>
      <c r="D85" s="14" t="n"/>
      <c r="E85" s="14" t="n"/>
      <c r="F85" s="14" t="n"/>
      <c r="G85" s="14" t="n"/>
    </row>
    <row r="86">
      <c r="A86" s="14" t="n"/>
      <c r="B86" s="14" t="n"/>
      <c r="C86" s="14" t="n"/>
      <c r="D86" s="14" t="n"/>
      <c r="E86" s="14" t="n"/>
      <c r="F86" s="14" t="n"/>
      <c r="G86" s="14" t="n"/>
    </row>
    <row r="87">
      <c r="A87" s="14" t="n"/>
      <c r="B87" s="14" t="n"/>
      <c r="C87" s="14" t="n"/>
      <c r="D87" s="14" t="n"/>
      <c r="E87" s="14" t="n"/>
      <c r="F87" s="14" t="n"/>
      <c r="G87" s="14" t="n"/>
    </row>
    <row r="88">
      <c r="A88" s="14" t="n"/>
      <c r="B88" s="14" t="n"/>
      <c r="C88" s="14" t="n"/>
      <c r="D88" s="14" t="n"/>
      <c r="E88" s="14" t="n"/>
      <c r="F88" s="14" t="n"/>
      <c r="G88" s="14" t="n"/>
    </row>
    <row r="89">
      <c r="A89" s="14" t="n"/>
      <c r="B89" s="14" t="n"/>
      <c r="C89" s="14" t="n"/>
      <c r="D89" s="14" t="n"/>
      <c r="E89" s="14" t="n"/>
      <c r="F89" s="14" t="n"/>
      <c r="G89" s="14" t="n"/>
    </row>
    <row r="90">
      <c r="A90" s="14" t="n"/>
      <c r="B90" s="14" t="n"/>
      <c r="C90" s="14" t="n"/>
      <c r="D90" s="14" t="n"/>
      <c r="E90" s="14" t="n"/>
      <c r="F90" s="14" t="n"/>
      <c r="G90" s="14" t="n"/>
    </row>
    <row r="91">
      <c r="A91" s="14" t="n"/>
      <c r="B91" s="14" t="n"/>
      <c r="C91" s="14" t="n"/>
      <c r="D91" s="14" t="n"/>
      <c r="E91" s="14" t="n"/>
      <c r="F91" s="14" t="n"/>
      <c r="G91" s="14" t="n"/>
    </row>
    <row r="92">
      <c r="A92" s="14" t="n"/>
      <c r="B92" s="14" t="n"/>
      <c r="C92" s="14" t="n"/>
      <c r="D92" s="14" t="n"/>
      <c r="E92" s="14" t="n"/>
      <c r="F92" s="14" t="n"/>
      <c r="G92" s="14" t="n"/>
    </row>
    <row r="93">
      <c r="A93" s="14" t="n"/>
      <c r="B93" s="14" t="n"/>
      <c r="C93" s="14" t="n"/>
      <c r="D93" s="14" t="n"/>
      <c r="E93" s="14" t="n"/>
      <c r="F93" s="14" t="n"/>
      <c r="G93" s="14" t="n"/>
    </row>
    <row r="94">
      <c r="A94" s="14" t="n"/>
      <c r="B94" s="14" t="n"/>
      <c r="C94" s="14" t="n"/>
      <c r="D94" s="14" t="n"/>
      <c r="E94" s="14" t="n"/>
      <c r="F94" s="14" t="n"/>
      <c r="G94" s="14" t="n"/>
    </row>
    <row r="95">
      <c r="A95" s="14" t="n"/>
      <c r="B95" s="14" t="n"/>
      <c r="C95" s="14" t="n"/>
      <c r="D95" s="14" t="n"/>
      <c r="E95" s="14" t="n"/>
      <c r="F95" s="14" t="n"/>
      <c r="G95" s="14" t="n"/>
    </row>
    <row r="96">
      <c r="A96" s="14" t="n"/>
      <c r="B96" s="14" t="n"/>
      <c r="C96" s="14" t="n"/>
      <c r="D96" s="14" t="n"/>
      <c r="E96" s="14" t="n"/>
      <c r="F96" s="14" t="n"/>
      <c r="G96" s="14" t="n"/>
    </row>
    <row r="97">
      <c r="A97" s="14" t="n"/>
      <c r="B97" s="14" t="n"/>
      <c r="C97" s="14" t="n"/>
      <c r="D97" s="14" t="n"/>
      <c r="E97" s="14" t="n"/>
      <c r="F97" s="14" t="n"/>
      <c r="G97" s="14" t="n"/>
    </row>
    <row r="98">
      <c r="A98" s="14" t="n"/>
      <c r="B98" s="14" t="n"/>
      <c r="C98" s="14" t="n"/>
      <c r="D98" s="14" t="n"/>
      <c r="E98" s="14" t="n"/>
      <c r="F98" s="14" t="n"/>
      <c r="G98" s="14" t="n"/>
    </row>
    <row r="99">
      <c r="A99" s="14" t="n"/>
      <c r="B99" s="14" t="n"/>
      <c r="C99" s="14" t="n"/>
      <c r="D99" s="14" t="n"/>
      <c r="E99" s="14" t="n"/>
      <c r="F99" s="14" t="n"/>
      <c r="G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</row>
    <row r="402">
      <c r="A402" s="8" t="inlineStr">
        <is>
          <t>Without these rows a record is findable only by somebody who already knows it exists - which is exactly the person who does not need it.</t>
        </is>
      </c>
    </row>
  </sheetData>
  <autoFilter ref="A1:G400"/>
  <dataValidations count="1">
    <dataValidation sqref="D2:D400" showDropDown="0" showInputMessage="0" showErrorMessage="0" allowBlank="1" type="list">
      <formula1>=Lists!$D$1:$D$7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64" customWidth="1" min="4" max="4"/>
  </cols>
  <sheetData>
    <row r="1">
      <c r="A1" s="18" t="inlineStr">
        <is>
          <t>Is the practice actually working</t>
        </is>
      </c>
    </row>
    <row r="2">
      <c r="A2" s="8" t="inlineStr">
        <is>
          <t>Nothing here is typed. Read it monthly; the repetition counter is the one that pays.</t>
        </is>
      </c>
    </row>
    <row r="4" ht="30" customHeight="1">
      <c r="A4" s="6" t="inlineStr">
        <is>
          <t>Decisions recorded</t>
        </is>
      </c>
      <c r="B4" s="19">
        <f>COUNTA(Decisions!$A$2:$A$301)</f>
        <v/>
      </c>
      <c r="C4" s="8" t="inlineStr"/>
      <c r="D4" s="4" t="inlineStr">
        <is>
          <t>The base number</t>
        </is>
      </c>
    </row>
    <row r="5" ht="30" customHeight="1">
      <c r="A5" s="6" t="inlineStr">
        <is>
          <t>Decisions missing the Rejected field</t>
        </is>
      </c>
      <c r="B5" s="19">
        <f>COUNTIFS(Decisions!$A$2:$A$301,"&lt;&gt;",Decisions!$G$2:$G$301,"")</f>
        <v/>
      </c>
      <c r="C5" s="8" t="inlineStr">
        <is>
          <t>should be 0</t>
        </is>
      </c>
      <c r="D5" s="4" t="inlineStr">
        <is>
          <t>The most common failure. Without it the argument returns</t>
        </is>
      </c>
    </row>
    <row r="6" ht="30" customHeight="1">
      <c r="A6" s="6" t="inlineStr">
        <is>
          <t>Decisions missing the Cost field</t>
        </is>
      </c>
      <c r="B6" s="19">
        <f>COUNTIFS(Decisions!$A$2:$A$301,"&lt;&gt;",Decisions!$I$2:$I$301,"")</f>
        <v/>
      </c>
      <c r="C6" s="8" t="inlineStr">
        <is>
          <t>should be 0</t>
        </is>
      </c>
      <c r="D6" s="4" t="inlineStr">
        <is>
          <t>A decision with no stated cost was a preference</t>
        </is>
      </c>
    </row>
    <row r="7" ht="30" customHeight="1">
      <c r="A7" s="6" t="inlineStr">
        <is>
          <t>Decisions with no links</t>
        </is>
      </c>
      <c r="B7" s="19">
        <f>SUMPRODUCT((Decisions!$A$2:$A$301&lt;&gt;"")*(COUNTIF(Links!$B$2:$B$400,Decisions!$A$2:$A$301)=0))</f>
        <v/>
      </c>
      <c r="C7" s="8" t="inlineStr">
        <is>
          <t>should be 0</t>
        </is>
      </c>
      <c r="D7" s="4" t="inlineStr">
        <is>
          <t>These will never surface in an impact list</t>
        </is>
      </c>
    </row>
    <row r="8" ht="30" customHeight="1">
      <c r="A8" s="6" t="inlineStr">
        <is>
          <t>Superseded decisions with no forward pointer</t>
        </is>
      </c>
      <c r="B8" s="19">
        <f>COUNTIFS(Decisions!$J$2:$J$301,"Superseded",Decisions!$L$2:$L$301,"")</f>
        <v/>
      </c>
      <c r="C8" s="8" t="inlineStr">
        <is>
          <t>should be 0</t>
        </is>
      </c>
      <c r="D8" s="4" t="inlineStr">
        <is>
          <t>The trail breaks here</t>
        </is>
      </c>
    </row>
    <row r="9" ht="30" customHeight="1">
      <c r="A9" s="6" t="inlineStr">
        <is>
          <t>Open exceptions</t>
        </is>
      </c>
      <c r="B9" s="19">
        <f>COUNTIF(Exceptions!$L$2:$L$201,"Open")</f>
        <v/>
      </c>
      <c r="C9" s="8" t="inlineStr"/>
      <c r="D9" s="4" t="inlineStr">
        <is>
          <t>The register's temperature</t>
        </is>
      </c>
    </row>
    <row r="10" ht="30" customHeight="1">
      <c r="A10" s="6" t="inlineStr">
        <is>
          <t>Open exceptions past expiry</t>
        </is>
      </c>
      <c r="B10" s="19">
        <f>COUNTIFS(Exceptions!$L$2:$L$201,"Open",Exceptions!$H$2:$H$201,"&lt;0")</f>
        <v/>
      </c>
      <c r="C10" s="8" t="inlineStr">
        <is>
          <t>should be 0</t>
        </is>
      </c>
      <c r="D10" s="4" t="inlineStr">
        <is>
          <t>The quarterly review did not happen</t>
        </is>
      </c>
    </row>
    <row r="11" ht="30" customHeight="1">
      <c r="A11" s="6" t="inlineStr">
        <is>
          <t>Open exceptions due within the warning window</t>
        </is>
      </c>
      <c r="B11" s="19">
        <f>COUNTIFS(Exceptions!$L$2:$L$201,"Open",Exceptions!$H$2:$H$201,"&lt;="&amp;Settings!$B$3,Exceptions!$H$2:$H$201,"&gt;=0")</f>
        <v/>
      </c>
      <c r="C11" s="8" t="inlineStr"/>
      <c r="D11" s="4" t="inlineStr">
        <is>
          <t>This quarter's agenda, computed</t>
        </is>
      </c>
    </row>
    <row r="12" ht="30" customHeight="1">
      <c r="A12" s="6" t="inlineStr">
        <is>
          <t>Exceptions renewed with no new reason</t>
        </is>
      </c>
      <c r="B12" s="19">
        <f>COUNTIFS(Exceptions!$J$2:$J$201,"No")</f>
        <v/>
      </c>
      <c r="C12" s="8" t="inlineStr">
        <is>
          <t>should be 0</t>
        </is>
      </c>
      <c r="D12" s="4" t="inlineStr">
        <is>
          <t>An extension without a new reason is a rejection with better manners</t>
        </is>
      </c>
    </row>
    <row r="13" ht="30" customHeight="1">
      <c r="A13" s="6" t="inlineStr">
        <is>
          <t>Classifications recorded</t>
        </is>
      </c>
      <c r="B13" s="19">
        <f>COUNTA(Classifications!$A$2:$A$301)</f>
        <v/>
      </c>
      <c r="C13" s="8" t="inlineStr"/>
      <c r="D13" s="4" t="inlineStr">
        <is>
          <t>The register almost nobody keeps</t>
        </is>
      </c>
    </row>
    <row r="14" ht="30" customHeight="1">
      <c r="A14" s="6" t="inlineStr">
        <is>
          <t>Assessments past their cycle</t>
        </is>
      </c>
      <c r="B14" s="19">
        <f>COUNTIFS(Assessments!$A$2:$A$301,"&lt;&gt;",Assessments!$L$2:$L$301,"&gt;"&amp;Settings!$B$4*31)</f>
        <v/>
      </c>
      <c r="C14" s="8" t="inlineStr"/>
      <c r="D14" s="4" t="inlineStr">
        <is>
          <t>Stale judgements still being quoted as current</t>
        </is>
      </c>
    </row>
    <row r="15" ht="30" customHeight="1">
      <c r="A15" s="6" t="inlineStr">
        <is>
          <t>Disputed assessments</t>
        </is>
      </c>
      <c r="B15" s="19">
        <f>COUNTIF(Assessments!$J$2:$J$301,"Yes")</f>
        <v/>
      </c>
      <c r="C15" s="8" t="inlineStr"/>
      <c r="D15" s="4" t="inlineStr">
        <is>
          <t>Not a problem. It means the anchors are doing their job</t>
        </is>
      </c>
    </row>
    <row r="18">
      <c r="A18" s="20" t="inlineStr">
        <is>
          <t>Repetition: the same topic arriving again and again</t>
        </is>
      </c>
    </row>
    <row r="19">
      <c r="A19" s="8" t="inlineStr">
        <is>
          <t>Type a topic in the yellow cells. At or above the threshold on Settings, you are not looking at an annoyance - you are looking at a missing principle.</t>
        </is>
      </c>
    </row>
    <row r="20">
      <c r="A20" s="11" t="inlineStr">
        <is>
          <t>Topic (as written in Decisions)</t>
        </is>
      </c>
      <c r="B20" s="11" t="inlineStr">
        <is>
          <t>Times decided</t>
        </is>
      </c>
      <c r="C20" s="11" t="inlineStr">
        <is>
          <t>Missing principle?</t>
        </is>
      </c>
      <c r="D20" s="11" t="inlineStr">
        <is>
          <t>What it is probably telling you</t>
        </is>
      </c>
    </row>
    <row r="21">
      <c r="A21" s="14" t="inlineStr">
        <is>
          <t>Price mastership</t>
        </is>
      </c>
      <c r="B21" s="15">
        <f>IF($A21="","",COUNTIF(Decisions!$E$2:$E$301,$A21))</f>
        <v/>
      </c>
      <c r="C21" s="21">
        <f>IF($A21="","",IF(B21&gt;=Settings!$B$5,"YES","-"))</f>
        <v/>
      </c>
      <c r="D21" s="22" t="inlineStr">
        <is>
          <t>Three decisions in three years on one object. This is a missing principle about system of record, announcing itself</t>
        </is>
      </c>
    </row>
    <row r="22">
      <c r="A22" s="14" t="inlineStr">
        <is>
          <t>Core integration</t>
        </is>
      </c>
      <c r="B22" s="15">
        <f>IF($A22="","",COUNTIF(Decisions!$E$2:$E$301,$A22))</f>
        <v/>
      </c>
      <c r="C22" s="21">
        <f>IF($A22="","",IF(B22&gt;=Settings!$B$5,"YES","-"))</f>
        <v/>
      </c>
      <c r="D22" s="22" t="inlineStr">
        <is>
          <t>A principle about released contracts, which you may already have</t>
        </is>
      </c>
    </row>
    <row r="23">
      <c r="A23" s="14" t="inlineStr">
        <is>
          <t>Customer copies</t>
        </is>
      </c>
      <c r="B23" s="15">
        <f>IF($A23="","",COUNTIF(Decisions!$E$2:$E$301,$A23))</f>
        <v/>
      </c>
      <c r="C23" s="21">
        <f>IF($A23="","",IF(B23&gt;=Settings!$B$5,"YES","-"))</f>
        <v/>
      </c>
      <c r="D23" s="22" t="inlineStr">
        <is>
          <t>A principle about one system of record per object</t>
        </is>
      </c>
    </row>
    <row r="24">
      <c r="A24" s="14" t="inlineStr"/>
      <c r="B24" s="15">
        <f>IF($A24="","",COUNTIF(Decisions!$E$2:$E$301,$A24))</f>
        <v/>
      </c>
      <c r="C24" s="21">
        <f>IF($A24="","",IF(B24&gt;=Settings!$B$5,"YES","-"))</f>
        <v/>
      </c>
      <c r="D24" s="22" t="inlineStr"/>
    </row>
    <row r="25">
      <c r="A25" s="14" t="inlineStr"/>
      <c r="B25" s="15">
        <f>IF($A25="","",COUNTIF(Decisions!$E$2:$E$301,$A25))</f>
        <v/>
      </c>
      <c r="C25" s="21">
        <f>IF($A25="","",IF(B25&gt;=Settings!$B$5,"YES","-"))</f>
        <v/>
      </c>
      <c r="D25" s="22" t="inlineStr"/>
    </row>
    <row r="40">
      <c r="A40" s="8" t="inlineStr">
        <is>
          <t>Every time-boxed record generates its own review agenda. The quarterly session does not need a facilitator deciding what to discuss - the register decides, by date.</t>
        </is>
      </c>
    </row>
  </sheetData>
  <conditionalFormatting sqref="C21:C38">
    <cfRule type="cellIs" priority="1" operator="equal" dxfId="1">
      <formula>"YES"</formula>
    </cfRule>
  </conditionalFormatting>
  <conditionalFormatting sqref="B4">
    <cfRule type="expression" priority="2" dxfId="0">
      <formula>AND($C4="should be 0",$B4&gt;0)</formula>
    </cfRule>
  </conditionalFormatting>
  <conditionalFormatting sqref="B5">
    <cfRule type="expression" priority="3" dxfId="0">
      <formula>AND($C5="should be 0",$B5&gt;0)</formula>
    </cfRule>
  </conditionalFormatting>
  <conditionalFormatting sqref="B6">
    <cfRule type="expression" priority="4" dxfId="0">
      <formula>AND($C6="should be 0",$B6&gt;0)</formula>
    </cfRule>
  </conditionalFormatting>
  <conditionalFormatting sqref="B7">
    <cfRule type="expression" priority="5" dxfId="0">
      <formula>AND($C7="should be 0",$B7&gt;0)</formula>
    </cfRule>
  </conditionalFormatting>
  <conditionalFormatting sqref="B8">
    <cfRule type="expression" priority="6" dxfId="0">
      <formula>AND($C8="should be 0",$B8&gt;0)</formula>
    </cfRule>
  </conditionalFormatting>
  <conditionalFormatting sqref="B9">
    <cfRule type="expression" priority="7" dxfId="0">
      <formula>AND($C9="should be 0",$B9&gt;0)</formula>
    </cfRule>
  </conditionalFormatting>
  <conditionalFormatting sqref="B10">
    <cfRule type="expression" priority="8" dxfId="0">
      <formula>AND($C10="should be 0",$B10&gt;0)</formula>
    </cfRule>
  </conditionalFormatting>
  <conditionalFormatting sqref="B11">
    <cfRule type="expression" priority="9" dxfId="0">
      <formula>AND($C11="should be 0",$B11&gt;0)</formula>
    </cfRule>
  </conditionalFormatting>
  <conditionalFormatting sqref="B12">
    <cfRule type="expression" priority="10" dxfId="0">
      <formula>AND($C12="should be 0",$B12&gt;0)</formula>
    </cfRule>
  </conditionalFormatting>
  <conditionalFormatting sqref="B13">
    <cfRule type="expression" priority="11" dxfId="0">
      <formula>AND($C13="should be 0",$B13&gt;0)</formula>
    </cfRule>
  </conditionalFormatting>
  <conditionalFormatting sqref="B14">
    <cfRule type="expression" priority="12" dxfId="0">
      <formula>AND($C14="should be 0",$B14&gt;0)</formula>
    </cfRule>
  </conditionalFormatting>
  <conditionalFormatting sqref="B15">
    <cfRule type="expression" priority="13" dxfId="0">
      <formula>AND($C15="should be 0",$B15&gt;0)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2026-08-20T10:12:15Z</dcterms:created>
  <dcterms:modified xmlns:dcterms="http://purl.org/dc/terms/" xmlns:xsi="http://www.w3.org/2001/XMLSchema-instance" xsi:type="dcterms:W3CDTF">2026-08-20T10:12:15Z</dcterms:modified>
</cp:coreProperties>
</file>
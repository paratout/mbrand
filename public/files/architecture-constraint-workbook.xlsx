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tings" sheetId="2" state="visible" r:id="rId2"/>
    <sheet xmlns:r="http://schemas.openxmlformats.org/officeDocument/2006/relationships" name="Lists" sheetId="3" state="hidden" r:id="rId3"/>
    <sheet xmlns:r="http://schemas.openxmlformats.org/officeDocument/2006/relationships" name="Domains" sheetId="4" state="visible" r:id="rId4"/>
    <sheet xmlns:r="http://schemas.openxmlformats.org/officeDocument/2006/relationships" name="Seams" sheetId="5" state="visible" r:id="rId5"/>
    <sheet xmlns:r="http://schemas.openxmlformats.org/officeDocument/2006/relationships" name="Landscape" sheetId="6" state="visible" r:id="rId6"/>
    <sheet xmlns:r="http://schemas.openxmlformats.org/officeDocument/2006/relationships" name="Projects" sheetId="7" state="visible" r:id="rId7"/>
    <sheet xmlns:r="http://schemas.openxmlformats.org/officeDocument/2006/relationships" name="Constraints" sheetId="8" state="visible" r:id="rId8"/>
    <sheet xmlns:r="http://schemas.openxmlformats.org/officeDocument/2006/relationships" name="Vendor scoring" sheetId="9" state="visible" r:id="rId9"/>
  </sheets>
  <definedNames>
    <definedName name="_xlnm._FilterDatabase" localSheetId="5" hidden="1">'Landscape'!$A$1:$J$601</definedName>
    <definedName name="_xlnm._FilterDatabase" localSheetId="6" hidden="1">'Projects'!$A$1:$R$121</definedName>
    <definedName name="_xlnm._FilterDatabase" localSheetId="7" hidden="1">'Constraints'!$A$1:$K$201</definedName>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0.0%"/>
    <numFmt numFmtId="167" formatCode="0.0"/>
  </numFmts>
  <fonts count="7">
    <font>
      <name val="Calibri"/>
      <family val="2"/>
      <color theme="1"/>
      <sz val="11"/>
      <scheme val="minor"/>
    </font>
    <font>
      <name val="Arial"/>
      <b val="1"/>
      <sz val="13"/>
    </font>
    <font>
      <name val="Arial"/>
      <sz val="10"/>
    </font>
    <font>
      <name val="Arial"/>
      <b val="1"/>
      <sz val="10"/>
    </font>
    <font>
      <name val="Arial"/>
      <i val="1"/>
      <color rgb="FF7D766E"/>
      <sz val="9"/>
    </font>
    <font>
      <name val="Arial"/>
      <b val="1"/>
      <color rgb="FFFFFFFF"/>
      <sz val="10"/>
    </font>
    <font>
      <name val="Arial"/>
      <b val="1"/>
      <color rgb="FF14606B"/>
      <sz val="18"/>
    </font>
  </fonts>
  <fills count="4">
    <fill>
      <patternFill/>
    </fill>
    <fill>
      <patternFill patternType="gray125"/>
    </fill>
    <fill>
      <patternFill patternType="solid">
        <fgColor rgb="FF14606B"/>
      </patternFill>
    </fill>
    <fill>
      <patternFill patternType="solid">
        <fgColor rgb="FFFFFFCC"/>
      </patternFill>
    </fill>
  </fills>
  <borders count="2">
    <border>
      <left/>
      <right/>
      <top/>
      <bottom/>
      <diagonal/>
    </border>
    <border>
      <left style="thin">
        <color rgb="FFE4E0D7"/>
      </left>
      <right style="thin">
        <color rgb="FFE4E0D7"/>
      </right>
      <top style="thin">
        <color rgb="FFE4E0D7"/>
      </top>
      <bottom style="thin">
        <color rgb="FFE4E0D7"/>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pivotButton="0" quotePrefix="0" xfId="0"/>
    <xf numFmtId="0" fontId="3" fillId="0" borderId="0" pivotButton="0" quotePrefix="0" xfId="0"/>
    <xf numFmtId="164" fontId="2" fillId="3" borderId="1" pivotButton="0" quotePrefix="0" xfId="0"/>
    <xf numFmtId="0" fontId="4" fillId="0" borderId="0" pivotButton="0" quotePrefix="0" xfId="0"/>
    <xf numFmtId="0" fontId="2" fillId="3" borderId="1" pivotButton="0" quotePrefix="0" xfId="0"/>
    <xf numFmtId="9" fontId="2" fillId="3" borderId="1" pivotButton="0" quotePrefix="0" xfId="0"/>
    <xf numFmtId="0" fontId="2" fillId="0" borderId="0" pivotButton="0" quotePrefix="0" xfId="0"/>
    <xf numFmtId="0" fontId="5" fillId="2"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164" fontId="2" fillId="0" borderId="1" applyAlignment="1" pivotButton="0" quotePrefix="0" xfId="0">
      <alignment vertical="top" wrapText="1"/>
    </xf>
    <xf numFmtId="165" fontId="2" fillId="0" borderId="1" pivotButton="0" quotePrefix="0" xfId="0"/>
    <xf numFmtId="0" fontId="2" fillId="0" borderId="1" pivotButton="0" quotePrefix="0" xfId="0"/>
    <xf numFmtId="0" fontId="3" fillId="0" borderId="1" applyAlignment="1" pivotButton="0" quotePrefix="0" xfId="0">
      <alignment vertical="top" wrapText="1"/>
    </xf>
    <xf numFmtId="0" fontId="2" fillId="3" borderId="1" applyAlignment="1" pivotButton="0" quotePrefix="0" xfId="0">
      <alignment vertical="top" wrapText="1"/>
    </xf>
    <xf numFmtId="0" fontId="6" fillId="0" borderId="0" pivotButton="0" quotePrefix="0" xfId="0"/>
    <xf numFmtId="9" fontId="2" fillId="0" borderId="1" applyAlignment="1" pivotButton="0" quotePrefix="0" xfId="0">
      <alignment vertical="top" wrapText="1"/>
    </xf>
    <xf numFmtId="0" fontId="1" fillId="0" borderId="0" pivotButton="0" quotePrefix="0" xfId="0"/>
    <xf numFmtId="167" fontId="2" fillId="0" borderId="1" pivotButton="0" quotePrefix="0" xfId="0"/>
    <xf numFmtId="166" fontId="0" fillId="0" borderId="1" pivotButton="0" quotePrefix="0" xfId="0"/>
    <xf numFmtId="0" fontId="3" fillId="0" borderId="1" pivotButton="0" quotePrefix="0" xfId="0"/>
  </cellXfs>
  <cellStyles count="1">
    <cellStyle name="Normal" xfId="0" builtinId="0" hidden="0"/>
  </cellStyles>
  <dxfs count="3">
    <dxf>
      <fill>
        <patternFill patternType="solid">
          <fgColor rgb="FFF2E4E0"/>
        </patternFill>
      </fill>
    </dxf>
    <dxf>
      <fill>
        <patternFill patternType="solid">
          <fgColor rgb="FFE3EFE7"/>
        </patternFill>
      </fill>
    </dxf>
    <dxf>
      <fill>
        <patternFill patternType="solid">
          <fgColor rgb="FFF5ECD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Constraint and vendor scoring workbook</t>
        </is>
      </c>
    </row>
    <row r="2">
      <c r="A2" s="2" t="inlineStr">
        <is>
          <t>Everything downstream of the address: the domain register, the seam register, the project register with domains assigned, an impact cascade that counts the affected applications, objects, interfaces, components and markets from the links you already keep, the constraint register with source, test, expiry and closure status, and a vendor scoring model with mandatory criteria and written anchors.</t>
        </is>
      </c>
    </row>
    <row r="3">
      <c r="A3" s="2" t="inlineStr"/>
    </row>
    <row r="4">
      <c r="A4" s="3" t="inlineStr">
        <is>
          <t>The sheets</t>
        </is>
      </c>
    </row>
    <row r="5">
      <c r="A5" s="2" t="inlineStr">
        <is>
          <t>Domains - eight to fifteen at group level. Owner, architect, core objects, three lines of target direction.</t>
        </is>
      </c>
    </row>
    <row r="6">
      <c r="A6" s="2" t="inlineStr">
        <is>
          <t>Seams - where two domains argue. Who leads, who is consulted, what triggers a joint review.</t>
        </is>
      </c>
    </row>
    <row r="7">
      <c r="A7" s="2" t="inlineStr">
        <is>
          <t>Projects - one row per initiative, with its primary domain, domains touched, route, and its cascade counts computed.</t>
        </is>
      </c>
    </row>
    <row r="8">
      <c r="A8" s="2" t="inlineStr">
        <is>
          <t>Landscape - the link table the cascade reads: domain to application, application to object, interface, component, market.</t>
        </is>
      </c>
    </row>
    <row r="9">
      <c r="A9" s="2" t="inlineStr">
        <is>
          <t>Constraints - five to eight per project, each with a source, a test, an expiry and a closure status.</t>
        </is>
      </c>
    </row>
    <row r="10">
      <c r="A10" s="2" t="inlineStr">
        <is>
          <t>Vendor scoring - mandatory criteria, weighted criteria with anchors, and a computed result per vendor.</t>
        </is>
      </c>
    </row>
    <row r="11">
      <c r="A11" s="2" t="inlineStr"/>
    </row>
    <row r="12">
      <c r="A12" s="3" t="inlineStr">
        <is>
          <t>How to run it</t>
        </is>
      </c>
    </row>
    <row r="13">
      <c r="A13" s="2" t="inlineStr">
        <is>
          <t>1. Fill Domains first. If you cannot name the owner of each without looking, there are too many or some are not real.</t>
        </is>
      </c>
    </row>
    <row r="14">
      <c r="A14" s="2" t="inlineStr">
        <is>
          <t>2. Write the seam register. An afternoon, and it is the artifact people quote back at you first.</t>
        </is>
      </c>
    </row>
    <row r="15">
      <c r="A15" s="2" t="inlineStr">
        <is>
          <t>3. Every new project gets a row in Projects the week it appears, with the primary domain assigned by an architect within two working days.</t>
        </is>
      </c>
    </row>
    <row r="16">
      <c r="A16" s="2" t="inlineStr">
        <is>
          <t>4. The cascade columns compute from Landscape. They are counts; the names come from filtering Landscape by domain.</t>
        </is>
      </c>
    </row>
    <row r="17">
      <c r="A17" s="2" t="inlineStr">
        <is>
          <t>5. Constraints: five to eight per project. The register flags anything over eight, anything with no test, and anything left open past its expiry.</t>
        </is>
      </c>
    </row>
    <row r="18">
      <c r="A18" s="2" t="inlineStr">
        <is>
          <t>6. Vendor scoring: mandatory criteria first. A mandatory criterion removes a vendor rather than costing points, which makes it worth more than any weight.</t>
        </is>
      </c>
    </row>
    <row r="19">
      <c r="A19" s="2" t="inlineStr"/>
    </row>
    <row r="20">
      <c r="A20" s="3" t="inlineStr">
        <is>
          <t>Two numbers to watch</t>
        </is>
      </c>
    </row>
    <row r="21">
      <c r="A21" s="2" t="inlineStr">
        <is>
          <t>Constraints per project. Over eight and none get read. If you cannot get under eight, either the project is too big or the domain target architecture is not written down.</t>
        </is>
      </c>
    </row>
    <row r="22">
      <c r="A22" s="2" t="inlineStr">
        <is>
          <t>Architecture share of the evaluation score. At ten per cent it is a rounding error with a seat at the table. Twenty-five to thirty is where it becomes real.</t>
        </is>
      </c>
    </row>
    <row r="23">
      <c r="A23" s="2" t="inlineStr"/>
    </row>
    <row r="24">
      <c r="A24" s="4" t="inlineStr">
        <is>
          <t>Yellow cells are yours to fill. Everything else computes.</t>
        </is>
      </c>
    </row>
    <row r="25">
      <c r="A25" s="4" t="inlineStr">
        <is>
          <t>Companion article: mehdibamou.com/publications/every-project-needs-an-address - free to use and adapt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8" customWidth="1" min="1" max="1"/>
    <col width="18" customWidth="1" min="2" max="2"/>
    <col width="66" customWidth="1" min="3" max="3"/>
  </cols>
  <sheetData>
    <row r="1">
      <c r="A1" s="5" t="inlineStr">
        <is>
          <t>Setting</t>
        </is>
      </c>
      <c r="B1" s="5" t="inlineStr">
        <is>
          <t>Value</t>
        </is>
      </c>
      <c r="C1" s="5" t="inlineStr">
        <is>
          <t>Note</t>
        </is>
      </c>
    </row>
    <row r="2">
      <c r="A2" s="6" t="inlineStr">
        <is>
          <t>As-at date</t>
        </is>
      </c>
      <c r="B2" s="7" t="n">
        <v>46203</v>
      </c>
      <c r="C2" s="8" t="inlineStr">
        <is>
          <t>Drives expiry countdowns</t>
        </is>
      </c>
    </row>
    <row r="3">
      <c r="A3" s="6" t="inlineStr">
        <is>
          <t>Domain count ceiling</t>
        </is>
      </c>
      <c r="B3" s="9" t="n">
        <v>15</v>
      </c>
      <c r="C3" s="8" t="inlineStr">
        <is>
          <t>Above this, nobody can hold the list</t>
        </is>
      </c>
    </row>
    <row r="4">
      <c r="A4" s="6" t="inlineStr">
        <is>
          <t>Constraints per project ceiling</t>
        </is>
      </c>
      <c r="B4" s="9" t="n">
        <v>8</v>
      </c>
      <c r="C4" s="8" t="inlineStr">
        <is>
          <t>Above this, none get read</t>
        </is>
      </c>
    </row>
    <row r="5">
      <c r="A5" s="6" t="inlineStr">
        <is>
          <t>Address assignment target (days)</t>
        </is>
      </c>
      <c r="B5" s="9" t="n">
        <v>2</v>
      </c>
      <c r="C5" s="8" t="inlineStr">
        <is>
          <t>From intake. It takes about four minutes</t>
        </is>
      </c>
    </row>
    <row r="6">
      <c r="A6" s="6" t="inlineStr">
        <is>
          <t>Architecture share of vendor score</t>
        </is>
      </c>
      <c r="B6" s="10" t="n">
        <v>0.28</v>
      </c>
      <c r="C6" s="8" t="inlineStr">
        <is>
          <t>Twenty-five to thirty per cent, or it does not matter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11" t="inlineStr">
        <is>
          <t>Build</t>
        </is>
      </c>
      <c r="B1" s="11" t="inlineStr">
        <is>
          <t>Intake</t>
        </is>
      </c>
      <c r="C1" s="11" t="inlineStr">
        <is>
          <t>Open</t>
        </is>
      </c>
      <c r="D1" s="11" t="inlineStr">
        <is>
          <t>Principle</t>
        </is>
      </c>
      <c r="E1" s="11" t="inlineStr">
        <is>
          <t>Domain to application</t>
        </is>
      </c>
      <c r="F1" s="11" t="inlineStr">
        <is>
          <t>Mandatory</t>
        </is>
      </c>
    </row>
    <row r="2">
      <c r="A2" s="11" t="inlineStr">
        <is>
          <t>Buy</t>
        </is>
      </c>
      <c r="B2" s="11" t="inlineStr">
        <is>
          <t>Funding decision</t>
        </is>
      </c>
      <c r="C2" s="11" t="inlineStr">
        <is>
          <t>Met</t>
        </is>
      </c>
      <c r="D2" s="11" t="inlineStr">
        <is>
          <t>Pattern</t>
        </is>
      </c>
      <c r="E2" s="11" t="inlineStr">
        <is>
          <t>Application to object</t>
        </is>
      </c>
      <c r="F2" s="11" t="inlineStr">
        <is>
          <t>Weighted</t>
        </is>
      </c>
    </row>
    <row r="3">
      <c r="A3" s="11" t="inlineStr">
        <is>
          <t>Extend what exists</t>
        </is>
      </c>
      <c r="B3" s="11" t="inlineStr">
        <is>
          <t>Definition</t>
        </is>
      </c>
      <c r="C3" s="11" t="inlineStr">
        <is>
          <t>Deviated - exception registered</t>
        </is>
      </c>
      <c r="D3" s="11" t="inlineStr">
        <is>
          <t>Board decision</t>
        </is>
      </c>
      <c r="E3" s="11" t="inlineStr">
        <is>
          <t>Application to interface</t>
        </is>
      </c>
      <c r="F3" s="11" t="inlineStr">
        <is>
          <t>Desirable</t>
        </is>
      </c>
    </row>
    <row r="4">
      <c r="A4" s="11" t="inlineStr">
        <is>
          <t>Unknown</t>
        </is>
      </c>
      <c r="B4" s="11" t="inlineStr">
        <is>
          <t>Execution</t>
        </is>
      </c>
      <c r="C4" s="11" t="inlineStr">
        <is>
          <t>Withdrawn</t>
        </is>
      </c>
      <c r="D4" s="11" t="inlineStr">
        <is>
          <t>Integration standard</t>
        </is>
      </c>
      <c r="E4" s="11" t="inlineStr">
        <is>
          <t>Application to component</t>
        </is>
      </c>
    </row>
    <row r="5">
      <c r="B5" s="11" t="inlineStr">
        <is>
          <t>Closed</t>
        </is>
      </c>
      <c r="D5" s="11" t="inlineStr">
        <is>
          <t>Law or regulation</t>
        </is>
      </c>
      <c r="E5" s="11" t="inlineStr">
        <is>
          <t>Application to market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22" customWidth="1" min="3" max="3"/>
    <col width="20" customWidth="1" min="4" max="4"/>
    <col width="38" customWidth="1" min="5" max="5"/>
    <col width="30" customWidth="1" min="6" max="6"/>
    <col width="54" customWidth="1" min="7" max="7"/>
    <col width="20" customWidth="1" min="8" max="8"/>
  </cols>
  <sheetData>
    <row r="1">
      <c r="A1" s="12" t="inlineStr">
        <is>
          <t>Dom ID</t>
        </is>
      </c>
      <c r="B1" s="12" t="inlineStr">
        <is>
          <t>Domain</t>
        </is>
      </c>
      <c r="C1" s="12" t="inlineStr">
        <is>
          <t>Owner</t>
        </is>
      </c>
      <c r="D1" s="12" t="inlineStr">
        <is>
          <t>Architect</t>
        </is>
      </c>
      <c r="E1" s="12" t="inlineStr">
        <is>
          <t>Capabilities covered</t>
        </is>
      </c>
      <c r="F1" s="12" t="inlineStr">
        <is>
          <t>Core objects mastered</t>
        </is>
      </c>
      <c r="G1" s="12" t="inlineStr">
        <is>
          <t>Target direction (three lines)</t>
        </is>
      </c>
      <c r="H1" s="12" t="inlineStr">
        <is>
          <t>Known seams</t>
        </is>
      </c>
    </row>
    <row r="2">
      <c r="A2" s="13" t="inlineStr">
        <is>
          <t>DOM-01</t>
        </is>
      </c>
      <c r="B2" s="13" t="inlineStr">
        <is>
          <t>Customer management</t>
        </is>
      </c>
      <c r="C2" s="13" t="inlineStr">
        <is>
          <t>Head of CRM</t>
        </is>
      </c>
      <c r="D2" s="13" t="inlineStr">
        <is>
          <t>Named</t>
        </is>
      </c>
      <c r="E2" s="13" t="inlineStr">
        <is>
          <t>Customer acquisition, loyalty, service</t>
        </is>
      </c>
      <c r="F2" s="13" t="inlineStr">
        <is>
          <t>Customer, consent</t>
        </is>
      </c>
      <c r="G2" s="13" t="inlineStr">
        <is>
          <t>One customer identity across channels; commerce masters nothing; consent recorded once and read everywhere</t>
        </is>
      </c>
      <c r="H2" s="13" t="inlineStr">
        <is>
          <t>S-02</t>
        </is>
      </c>
    </row>
    <row r="3">
      <c r="A3" s="13" t="inlineStr">
        <is>
          <t>DOM-02</t>
        </is>
      </c>
      <c r="B3" s="13" t="inlineStr">
        <is>
          <t>Product management</t>
        </is>
      </c>
      <c r="C3" s="13" t="inlineStr">
        <is>
          <t>Head of product data</t>
        </is>
      </c>
      <c r="D3" s="13" t="inlineStr">
        <is>
          <t>Named</t>
        </is>
      </c>
      <c r="E3" s="13" t="inlineStr">
        <is>
          <t>Assortment, product data, lifecycle</t>
        </is>
      </c>
      <c r="F3" s="13" t="inlineStr">
        <is>
          <t>Material</t>
        </is>
      </c>
      <c r="G3" s="13" t="inlineStr">
        <is>
          <t>One material master; market variants as attributes, not as records</t>
        </is>
      </c>
      <c r="H3" s="13" t="inlineStr">
        <is>
          <t>S-06</t>
        </is>
      </c>
    </row>
    <row r="4">
      <c r="A4" s="13" t="inlineStr">
        <is>
          <t>DOM-03</t>
        </is>
      </c>
      <c r="B4" s="13" t="inlineStr">
        <is>
          <t>Source to contract</t>
        </is>
      </c>
      <c r="C4" s="13" t="inlineStr">
        <is>
          <t>Head of procurement ops</t>
        </is>
      </c>
      <c r="D4" s="13" t="inlineStr">
        <is>
          <t>Named</t>
        </is>
      </c>
      <c r="E4" s="13" t="inlineStr">
        <is>
          <t>Supplier qualification, sourcing, contract management</t>
        </is>
      </c>
      <c r="F4" s="13" t="inlineStr">
        <is>
          <t>Supplier, contract</t>
        </is>
      </c>
      <c r="G4" s="13" t="inlineStr">
        <is>
          <t>One supplier master with market registers retained under contract; contract lifecycle moves to the contract system next year</t>
        </is>
      </c>
      <c r="H4" s="13" t="inlineStr">
        <is>
          <t>S-01, S-04</t>
        </is>
      </c>
    </row>
    <row r="5">
      <c r="A5" s="13" t="inlineStr">
        <is>
          <t>DOM-04</t>
        </is>
      </c>
      <c r="B5" s="13" t="inlineStr">
        <is>
          <t>Order to cash</t>
        </is>
      </c>
      <c r="C5" s="13" t="inlineStr">
        <is>
          <t>Head of order management</t>
        </is>
      </c>
      <c r="D5" s="13" t="inlineStr">
        <is>
          <t>Named</t>
        </is>
      </c>
      <c r="E5" s="13" t="inlineStr">
        <is>
          <t>Order capture, fulfilment, invoicing</t>
        </is>
      </c>
      <c r="F5" s="13" t="inlineStr">
        <is>
          <t>Sales order</t>
        </is>
      </c>
      <c r="G5" s="13" t="inlineStr">
        <is>
          <t>Order capture converges on the core; no new local order stores</t>
        </is>
      </c>
      <c r="H5" s="13" t="inlineStr">
        <is>
          <t>S-01</t>
        </is>
      </c>
    </row>
    <row r="6">
      <c r="A6" s="13" t="inlineStr">
        <is>
          <t>DOM-05</t>
        </is>
      </c>
      <c r="B6" s="13" t="inlineStr">
        <is>
          <t>Pricing and promotion</t>
        </is>
      </c>
      <c r="C6" s="13" t="inlineStr">
        <is>
          <t>Head of pricing</t>
        </is>
      </c>
      <c r="D6" s="13" t="inlineStr">
        <is>
          <t>Named</t>
        </is>
      </c>
      <c r="E6" s="13" t="inlineStr">
        <is>
          <t>List pricing, conditions, promotions</t>
        </is>
      </c>
      <c r="F6" s="13" t="inlineStr">
        <is>
          <t>Price, promotion</t>
        </is>
      </c>
      <c r="G6" s="13" t="inlineStr">
        <is>
          <t>Pricing moves side-by-side; promotion stays in the promotion tool until wave three</t>
        </is>
      </c>
      <c r="H6" s="13" t="inlineStr">
        <is>
          <t>S-06</t>
        </is>
      </c>
    </row>
    <row r="7">
      <c r="A7" s="13" t="inlineStr">
        <is>
          <t>DOM-06</t>
        </is>
      </c>
      <c r="B7" s="13" t="inlineStr">
        <is>
          <t>Logistics</t>
        </is>
      </c>
      <c r="C7" s="13" t="inlineStr">
        <is>
          <t>Head of supply chain</t>
        </is>
      </c>
      <c r="D7" s="13" t="inlineStr">
        <is>
          <t>Named</t>
        </is>
      </c>
      <c r="E7" s="13" t="inlineStr">
        <is>
          <t>Warehousing, transport, stock</t>
        </is>
      </c>
      <c r="F7" s="13" t="inlineStr">
        <is>
          <t>Stock movement</t>
        </is>
      </c>
      <c r="G7" s="13" t="inlineStr">
        <is>
          <t>One stock ledger; market warehouse systems integrate on released contracts</t>
        </is>
      </c>
      <c r="H7" s="13" t="inlineStr">
        <is>
          <t>S-03</t>
        </is>
      </c>
    </row>
    <row r="8">
      <c r="A8" s="13" t="inlineStr">
        <is>
          <t>DOM-07</t>
        </is>
      </c>
      <c r="B8" s="13" t="inlineStr">
        <is>
          <t>Store operations</t>
        </is>
      </c>
      <c r="C8" s="13" t="inlineStr">
        <is>
          <t>Head of store ops</t>
        </is>
      </c>
      <c r="D8" s="13" t="inlineStr">
        <is>
          <t>Named</t>
        </is>
      </c>
      <c r="E8" s="13" t="inlineStr">
        <is>
          <t>Store execution, workforce, point of sale</t>
        </is>
      </c>
      <c r="F8" s="13" t="inlineStr">
        <is>
          <t>Store</t>
        </is>
      </c>
      <c r="G8" s="13" t="inlineStr">
        <is>
          <t>Store systems consume, never master, product and price</t>
        </is>
      </c>
      <c r="H8" s="13" t="inlineStr">
        <is>
          <t>S-03</t>
        </is>
      </c>
    </row>
    <row r="9">
      <c r="A9" s="13" t="inlineStr">
        <is>
          <t>DOM-08</t>
        </is>
      </c>
      <c r="B9" s="13" t="inlineStr">
        <is>
          <t>People operations</t>
        </is>
      </c>
      <c r="C9" s="13" t="inlineStr">
        <is>
          <t>Head of HR ops</t>
        </is>
      </c>
      <c r="D9" s="13" t="inlineStr">
        <is>
          <t>Named</t>
        </is>
      </c>
      <c r="E9" s="13" t="inlineStr">
        <is>
          <t>Hire to retire, payroll, org data</t>
        </is>
      </c>
      <c r="F9" s="13" t="inlineStr">
        <is>
          <t>Employee</t>
        </is>
      </c>
      <c r="G9" s="13" t="inlineStr">
        <is>
          <t>One employee record; payroll stays per country as a transition state</t>
        </is>
      </c>
      <c r="H9" s="13" t="inlineStr">
        <is>
          <t>S-05</t>
        </is>
      </c>
    </row>
    <row r="10">
      <c r="A10" s="13" t="inlineStr">
        <is>
          <t>DOM-09</t>
        </is>
      </c>
      <c r="B10" s="13" t="inlineStr">
        <is>
          <t>Finance operations</t>
        </is>
      </c>
      <c r="C10" s="13" t="inlineStr">
        <is>
          <t>Head of controlling</t>
        </is>
      </c>
      <c r="D10" s="13" t="inlineStr">
        <is>
          <t>Named</t>
        </is>
      </c>
      <c r="E10" s="13" t="inlineStr">
        <is>
          <t>Record to report, treasury, tax</t>
        </is>
      </c>
      <c r="F10" s="13" t="inlineStr">
        <is>
          <t>Cost centre, journal</t>
        </is>
      </c>
      <c r="G10" s="13" t="inlineStr">
        <is>
          <t>Finance consumes; it does not master operational objects</t>
        </is>
      </c>
      <c r="H10" s="13" t="inlineStr">
        <is>
          <t>S-01</t>
        </is>
      </c>
    </row>
    <row r="11">
      <c r="A11" s="13" t="inlineStr">
        <is>
          <t>DOM-10</t>
        </is>
      </c>
      <c r="B11" s="13" t="inlineStr">
        <is>
          <t>Corporate platforms</t>
        </is>
      </c>
      <c r="C11" s="13" t="inlineStr">
        <is>
          <t>CTO office</t>
        </is>
      </c>
      <c r="D11" s="13" t="inlineStr">
        <is>
          <t>Named</t>
        </is>
      </c>
      <c r="E11" s="13" t="inlineStr">
        <is>
          <t>Identity, collaboration, integration, data platform</t>
        </is>
      </c>
      <c r="F11" s="13" t="inlineStr">
        <is>
          <t>(none - it serves the others)</t>
        </is>
      </c>
      <c r="G11" s="13" t="inlineStr">
        <is>
          <t>Platforms are offered as services with contracts, not imposed</t>
        </is>
      </c>
      <c r="H11" s="13" t="inlineStr">
        <is>
          <t>S-05</t>
        </is>
      </c>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3">
      <c r="A33" s="8" t="inlineStr">
        <is>
          <t>The test: can you name the owner of each without opening a document? If not, there are too many, or some are not real.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22" customWidth="1" min="3" max="3"/>
    <col width="24" customWidth="1" min="4" max="4"/>
    <col width="44" customWidth="1" min="5" max="5"/>
    <col width="14" customWidth="1" min="6" max="6"/>
  </cols>
  <sheetData>
    <row r="1">
      <c r="A1" s="12" t="inlineStr">
        <is>
          <t>Ref</t>
        </is>
      </c>
      <c r="B1" s="12" t="inlineStr">
        <is>
          <t>The seam</t>
        </is>
      </c>
      <c r="C1" s="12" t="inlineStr">
        <is>
          <t>Leads</t>
        </is>
      </c>
      <c r="D1" s="12" t="inlineStr">
        <is>
          <t>Consulted</t>
        </is>
      </c>
      <c r="E1" s="12" t="inlineStr">
        <is>
          <t>Trigger for a joint review</t>
        </is>
      </c>
      <c r="F1" s="12" t="inlineStr">
        <is>
          <t>Last disputed</t>
        </is>
      </c>
    </row>
    <row r="2">
      <c r="A2" s="13" t="inlineStr">
        <is>
          <t>S-01</t>
        </is>
      </c>
      <c r="B2" s="13" t="inlineStr">
        <is>
          <t>The invoice - where an order becomes a payable</t>
        </is>
      </c>
      <c r="C2" s="13" t="inlineStr">
        <is>
          <t>DOM-04 Order to cash</t>
        </is>
      </c>
      <c r="D2" s="13" t="inlineStr">
        <is>
          <t>DOM-09 Finance, tax</t>
        </is>
      </c>
      <c r="E2" s="13" t="inlineStr">
        <is>
          <t>Any change to posting logic or document flow</t>
        </is>
      </c>
      <c r="F2" s="15" t="n">
        <v>46114</v>
      </c>
    </row>
    <row r="3">
      <c r="A3" s="13" t="inlineStr">
        <is>
          <t>S-02</t>
        </is>
      </c>
      <c r="B3" s="13" t="inlineStr">
        <is>
          <t>Consent and contactability</t>
        </is>
      </c>
      <c r="C3" s="13" t="inlineStr">
        <is>
          <t>DOM-01 Customer</t>
        </is>
      </c>
      <c r="D3" s="13" t="inlineStr">
        <is>
          <t>Marketing, legal (veto)</t>
        </is>
      </c>
      <c r="E3" s="13" t="inlineStr">
        <is>
          <t>Any new consumer of consent data</t>
        </is>
      </c>
      <c r="F3" s="15" t="n">
        <v>46161</v>
      </c>
    </row>
    <row r="4">
      <c r="A4" s="13" t="inlineStr">
        <is>
          <t>S-03</t>
        </is>
      </c>
      <c r="B4" s="13" t="inlineStr">
        <is>
          <t>Stock in transit</t>
        </is>
      </c>
      <c r="C4" s="13" t="inlineStr">
        <is>
          <t>DOM-06 Logistics</t>
        </is>
      </c>
      <c r="D4" s="13" t="inlineStr">
        <is>
          <t>DOM-07 Store operations</t>
        </is>
      </c>
      <c r="E4" s="13" t="inlineStr">
        <is>
          <t>Any change to the ownership transfer point</t>
        </is>
      </c>
      <c r="F4" s="15" t="n">
        <v>45968</v>
      </c>
    </row>
    <row r="5">
      <c r="A5" s="13" t="inlineStr">
        <is>
          <t>S-04</t>
        </is>
      </c>
      <c r="B5" s="13" t="inlineStr">
        <is>
          <t>Supplier onboarding versus vendor risk</t>
        </is>
      </c>
      <c r="C5" s="13" t="inlineStr">
        <is>
          <t>DOM-03 Source to contract</t>
        </is>
      </c>
      <c r="D5" s="13" t="inlineStr">
        <is>
          <t>Legal, compliance</t>
        </is>
      </c>
      <c r="E5" s="13" t="inlineStr">
        <is>
          <t>Any new market or new risk category</t>
        </is>
      </c>
      <c r="F5" s="15" t="n">
        <v>46184</v>
      </c>
    </row>
    <row r="6">
      <c r="A6" s="13" t="inlineStr">
        <is>
          <t>S-05</t>
        </is>
      </c>
      <c r="B6" s="13" t="inlineStr">
        <is>
          <t>Employee identity and access</t>
        </is>
      </c>
      <c r="C6" s="13" t="inlineStr">
        <is>
          <t>DOM-08 People ops</t>
        </is>
      </c>
      <c r="D6" s="13" t="inlineStr">
        <is>
          <t>DOM-10 Security</t>
        </is>
      </c>
      <c r="E6" s="13" t="inlineStr">
        <is>
          <t>Any change to joiner, mover or leaver flow</t>
        </is>
      </c>
      <c r="F6" s="15" t="n">
        <v>46077</v>
      </c>
    </row>
    <row r="7">
      <c r="A7" s="13" t="inlineStr">
        <is>
          <t>S-06</t>
        </is>
      </c>
      <c r="B7" s="13" t="inlineStr">
        <is>
          <t>Price versus promotion precedence</t>
        </is>
      </c>
      <c r="C7" s="13" t="inlineStr">
        <is>
          <t>DOM-05 Pricing</t>
        </is>
      </c>
      <c r="D7" s="13" t="inlineStr">
        <is>
          <t>Marketing</t>
        </is>
      </c>
      <c r="E7" s="13" t="inlineStr">
        <is>
          <t>Any change to the precedence rules</t>
        </is>
      </c>
      <c r="F7" s="15" t="n">
        <v>46111</v>
      </c>
    </row>
    <row r="8">
      <c r="A8" s="14" t="n"/>
      <c r="B8" s="14" t="n"/>
      <c r="C8" s="14" t="n"/>
      <c r="D8" s="14" t="n"/>
      <c r="E8" s="14" t="n"/>
      <c r="F8" s="14" t="n"/>
    </row>
    <row r="9">
      <c r="A9" s="14" t="n"/>
      <c r="B9" s="14" t="n"/>
      <c r="C9" s="14" t="n"/>
      <c r="D9" s="14" t="n"/>
      <c r="E9" s="14" t="n"/>
      <c r="F9" s="14" t="n"/>
    </row>
    <row r="10">
      <c r="A10" s="14" t="n"/>
      <c r="B10" s="14" t="n"/>
      <c r="C10" s="14" t="n"/>
      <c r="D10" s="14" t="n"/>
      <c r="E10" s="14" t="n"/>
      <c r="F10" s="14" t="n"/>
    </row>
    <row r="11">
      <c r="A11" s="14" t="n"/>
      <c r="B11" s="14" t="n"/>
      <c r="C11" s="14" t="n"/>
      <c r="D11" s="14" t="n"/>
      <c r="E11" s="14" t="n"/>
      <c r="F11" s="14" t="n"/>
    </row>
    <row r="12">
      <c r="A12" s="14" t="n"/>
      <c r="B12" s="14" t="n"/>
      <c r="C12" s="14" t="n"/>
      <c r="D12" s="14" t="n"/>
      <c r="E12" s="14" t="n"/>
      <c r="F12" s="14" t="n"/>
    </row>
    <row r="13">
      <c r="A13" s="14" t="n"/>
      <c r="B13" s="14" t="n"/>
      <c r="C13" s="14" t="n"/>
      <c r="D13" s="14" t="n"/>
      <c r="E13" s="14" t="n"/>
      <c r="F13" s="14" t="n"/>
    </row>
    <row r="14">
      <c r="A14" s="14" t="n"/>
      <c r="B14" s="14" t="n"/>
      <c r="C14" s="14" t="n"/>
      <c r="D14" s="14" t="n"/>
      <c r="E14" s="14" t="n"/>
      <c r="F14" s="14" t="n"/>
    </row>
    <row r="15">
      <c r="A15" s="14" t="n"/>
      <c r="B15" s="14" t="n"/>
      <c r="C15" s="14" t="n"/>
      <c r="D15" s="14" t="n"/>
      <c r="E15" s="14" t="n"/>
      <c r="F15" s="14" t="n"/>
    </row>
    <row r="16">
      <c r="A16" s="14" t="n"/>
      <c r="B16" s="14" t="n"/>
      <c r="C16" s="14" t="n"/>
      <c r="D16" s="14" t="n"/>
      <c r="E16" s="14" t="n"/>
      <c r="F16" s="14" t="n"/>
    </row>
    <row r="17">
      <c r="A17" s="14" t="n"/>
      <c r="B17" s="14" t="n"/>
      <c r="C17" s="14" t="n"/>
      <c r="D17" s="14" t="n"/>
      <c r="E17" s="14" t="n"/>
      <c r="F17" s="14" t="n"/>
    </row>
    <row r="18">
      <c r="A18" s="14" t="n"/>
      <c r="B18" s="14" t="n"/>
      <c r="C18" s="14" t="n"/>
      <c r="D18" s="14" t="n"/>
      <c r="E18" s="14" t="n"/>
      <c r="F18" s="14" t="n"/>
    </row>
    <row r="19">
      <c r="A19" s="14" t="n"/>
      <c r="B19" s="14" t="n"/>
      <c r="C19" s="14" t="n"/>
      <c r="D19" s="14" t="n"/>
      <c r="E19" s="14" t="n"/>
      <c r="F19" s="14" t="n"/>
    </row>
    <row r="20">
      <c r="A20" s="14" t="n"/>
      <c r="B20" s="14" t="n"/>
      <c r="C20" s="14" t="n"/>
      <c r="D20" s="14" t="n"/>
      <c r="E20" s="14" t="n"/>
      <c r="F20" s="14" t="n"/>
    </row>
    <row r="21">
      <c r="A21" s="14" t="n"/>
      <c r="B21" s="14" t="n"/>
      <c r="C21" s="14" t="n"/>
      <c r="D21" s="14" t="n"/>
      <c r="E21" s="14" t="n"/>
      <c r="F21" s="14" t="n"/>
    </row>
    <row r="22">
      <c r="A22" s="14" t="n"/>
      <c r="B22" s="14" t="n"/>
      <c r="C22" s="14" t="n"/>
      <c r="D22" s="14" t="n"/>
      <c r="E22" s="14" t="n"/>
      <c r="F22" s="14" t="n"/>
    </row>
    <row r="23">
      <c r="A23" s="14" t="n"/>
      <c r="B23" s="14" t="n"/>
      <c r="C23" s="14" t="n"/>
      <c r="D23" s="14" t="n"/>
      <c r="E23" s="14" t="n"/>
      <c r="F23" s="14" t="n"/>
    </row>
    <row r="24">
      <c r="A24" s="14" t="n"/>
      <c r="B24" s="14" t="n"/>
      <c r="C24" s="14" t="n"/>
      <c r="D24" s="14" t="n"/>
      <c r="E24" s="14" t="n"/>
      <c r="F24" s="14" t="n"/>
    </row>
    <row r="25">
      <c r="A25" s="14" t="n"/>
      <c r="B25" s="14" t="n"/>
      <c r="C25" s="14" t="n"/>
      <c r="D25" s="14" t="n"/>
      <c r="E25" s="14" t="n"/>
      <c r="F25" s="14" t="n"/>
    </row>
    <row r="26">
      <c r="A26" s="14" t="n"/>
      <c r="B26" s="14" t="n"/>
      <c r="C26" s="14" t="n"/>
      <c r="D26" s="14" t="n"/>
      <c r="E26" s="14" t="n"/>
      <c r="F26" s="14" t="n"/>
    </row>
    <row r="27">
      <c r="A27" s="14" t="n"/>
      <c r="B27" s="14" t="n"/>
      <c r="C27" s="14" t="n"/>
      <c r="D27" s="14" t="n"/>
      <c r="E27" s="14" t="n"/>
      <c r="F27" s="14" t="n"/>
    </row>
    <row r="28">
      <c r="A28" s="14" t="n"/>
      <c r="B28" s="14" t="n"/>
      <c r="C28" s="14" t="n"/>
      <c r="D28" s="14" t="n"/>
      <c r="E28" s="14" t="n"/>
      <c r="F28" s="14" t="n"/>
    </row>
    <row r="29">
      <c r="A29" s="14" t="n"/>
      <c r="B29" s="14" t="n"/>
      <c r="C29" s="14" t="n"/>
      <c r="D29" s="14" t="n"/>
      <c r="E29" s="14" t="n"/>
      <c r="F29" s="14" t="n"/>
    </row>
    <row r="30">
      <c r="A30" s="14" t="n"/>
      <c r="B30" s="14" t="n"/>
      <c r="C30" s="14" t="n"/>
      <c r="D30" s="14" t="n"/>
      <c r="E30" s="14" t="n"/>
      <c r="F30" s="14" t="n"/>
    </row>
    <row r="31">
      <c r="A31" s="14" t="n"/>
      <c r="B31" s="14" t="n"/>
      <c r="C31" s="14" t="n"/>
      <c r="D31" s="14" t="n"/>
      <c r="E31" s="14" t="n"/>
      <c r="F31" s="14" t="n"/>
    </row>
    <row r="32">
      <c r="A32" s="14" t="n"/>
      <c r="B32" s="14" t="n"/>
      <c r="C32" s="14" t="n"/>
      <c r="D32" s="14" t="n"/>
      <c r="E32" s="14" t="n"/>
      <c r="F32" s="14" t="n"/>
    </row>
    <row r="33">
      <c r="A33" s="14" t="n"/>
      <c r="B33" s="14" t="n"/>
      <c r="C33" s="14" t="n"/>
      <c r="D33" s="14" t="n"/>
      <c r="E33" s="14" t="n"/>
      <c r="F33" s="14" t="n"/>
    </row>
    <row r="34">
      <c r="A34" s="14" t="n"/>
      <c r="B34" s="14" t="n"/>
      <c r="C34" s="14" t="n"/>
      <c r="D34" s="14" t="n"/>
      <c r="E34" s="14" t="n"/>
      <c r="F34" s="14" t="n"/>
    </row>
    <row r="35">
      <c r="A35" s="14" t="n"/>
      <c r="B35" s="14" t="n"/>
      <c r="C35" s="14" t="n"/>
      <c r="D35" s="14" t="n"/>
      <c r="E35" s="14" t="n"/>
      <c r="F35" s="14" t="n"/>
    </row>
    <row r="36">
      <c r="A36" s="14" t="n"/>
      <c r="B36" s="14" t="n"/>
      <c r="C36" s="14" t="n"/>
      <c r="D36" s="14" t="n"/>
      <c r="E36" s="14" t="n"/>
      <c r="F36" s="14" t="n"/>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3">
      <c r="A43" s="8" t="inlineStr">
        <is>
          <t>Six to eight entries. Do not redraw boundaries until the arguments stop - name the seam and give it a rule instead.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0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9" customWidth="1" min="3" max="3"/>
    <col width="10" customWidth="1" min="4" max="4"/>
    <col width="30" customWidth="1" min="5" max="5"/>
    <col width="16" customWidth="1" min="6" max="6"/>
    <col width="12" customWidth="1" min="7" max="7"/>
    <col width="16" customWidth="1" min="8" max="8"/>
    <col width="14" customWidth="1" min="9" max="9"/>
    <col width="20" customWidth="1" min="10" max="10"/>
  </cols>
  <sheetData>
    <row r="1">
      <c r="A1" s="12" t="inlineStr">
        <is>
          <t>Link ID</t>
        </is>
      </c>
      <c r="B1" s="12" t="inlineStr">
        <is>
          <t>Type</t>
        </is>
      </c>
      <c r="C1" s="12" t="inlineStr">
        <is>
          <t>Dom ID</t>
        </is>
      </c>
      <c r="D1" s="12" t="inlineStr">
        <is>
          <t>App ID</t>
        </is>
      </c>
      <c r="E1" s="12" t="inlineStr">
        <is>
          <t>App / related name</t>
        </is>
      </c>
      <c r="F1" s="12" t="inlineStr">
        <is>
          <t>Object</t>
        </is>
      </c>
      <c r="G1" s="12" t="inlineStr">
        <is>
          <t>Interface</t>
        </is>
      </c>
      <c r="H1" s="12" t="inlineStr">
        <is>
          <t>Component</t>
        </is>
      </c>
      <c r="I1" s="12" t="inlineStr">
        <is>
          <t>Market</t>
        </is>
      </c>
      <c r="J1" s="12" t="inlineStr">
        <is>
          <t>Owner</t>
        </is>
      </c>
    </row>
    <row r="2">
      <c r="A2" s="13" t="inlineStr">
        <is>
          <t>N-001</t>
        </is>
      </c>
      <c r="B2" s="13" t="inlineStr">
        <is>
          <t>Domain to application</t>
        </is>
      </c>
      <c r="C2" s="13" t="inlineStr">
        <is>
          <t>DOM-03</t>
        </is>
      </c>
      <c r="D2" s="13" t="inlineStr">
        <is>
          <t>APP-002</t>
        </is>
      </c>
      <c r="E2" s="13" t="inlineStr">
        <is>
          <t>Core ERP</t>
        </is>
      </c>
      <c r="F2" s="13" t="inlineStr"/>
      <c r="G2" s="13" t="inlineStr"/>
      <c r="H2" s="13" t="inlineStr"/>
      <c r="I2" s="13" t="inlineStr"/>
      <c r="J2" s="13" t="inlineStr">
        <is>
          <t>IT operations</t>
        </is>
      </c>
    </row>
    <row r="3">
      <c r="A3" s="13" t="inlineStr">
        <is>
          <t>N-002</t>
        </is>
      </c>
      <c r="B3" s="13" t="inlineStr">
        <is>
          <t>Domain to application</t>
        </is>
      </c>
      <c r="C3" s="13" t="inlineStr">
        <is>
          <t>DOM-03</t>
        </is>
      </c>
      <c r="D3" s="13" t="inlineStr">
        <is>
          <t>APP-044</t>
        </is>
      </c>
      <c r="E3" s="13" t="inlineStr">
        <is>
          <t>Procurement portal</t>
        </is>
      </c>
      <c r="F3" s="13" t="inlineStr"/>
      <c r="G3" s="13" t="inlineStr"/>
      <c r="H3" s="13" t="inlineStr"/>
      <c r="I3" s="13" t="inlineStr"/>
      <c r="J3" s="13" t="inlineStr">
        <is>
          <t>Procurement IT</t>
        </is>
      </c>
    </row>
    <row r="4">
      <c r="A4" s="13" t="inlineStr">
        <is>
          <t>N-003</t>
        </is>
      </c>
      <c r="B4" s="13" t="inlineStr">
        <is>
          <t>Domain to application</t>
        </is>
      </c>
      <c r="C4" s="13" t="inlineStr">
        <is>
          <t>DOM-03</t>
        </is>
      </c>
      <c r="D4" s="13" t="inlineStr">
        <is>
          <t>APP-118</t>
        </is>
      </c>
      <c r="E4" s="13" t="inlineStr">
        <is>
          <t>Market D supplier register</t>
        </is>
      </c>
      <c r="F4" s="13" t="inlineStr"/>
      <c r="G4" s="13" t="inlineStr"/>
      <c r="H4" s="13" t="inlineStr"/>
      <c r="I4" s="13" t="inlineStr">
        <is>
          <t>Market D</t>
        </is>
      </c>
      <c r="J4" s="13" t="inlineStr">
        <is>
          <t>Market D IT</t>
        </is>
      </c>
    </row>
    <row r="5">
      <c r="A5" s="13" t="inlineStr">
        <is>
          <t>N-004</t>
        </is>
      </c>
      <c r="B5" s="13" t="inlineStr">
        <is>
          <t>Domain to application</t>
        </is>
      </c>
      <c r="C5" s="13" t="inlineStr">
        <is>
          <t>DOM-03</t>
        </is>
      </c>
      <c r="D5" s="13" t="inlineStr">
        <is>
          <t>APP-101</t>
        </is>
      </c>
      <c r="E5" s="13" t="inlineStr">
        <is>
          <t>Contract system</t>
        </is>
      </c>
      <c r="F5" s="13" t="inlineStr"/>
      <c r="G5" s="13" t="inlineStr"/>
      <c r="H5" s="13" t="inlineStr"/>
      <c r="I5" s="13" t="inlineStr"/>
      <c r="J5" s="13" t="inlineStr">
        <is>
          <t>Legal IT</t>
        </is>
      </c>
    </row>
    <row r="6">
      <c r="A6" s="13" t="inlineStr">
        <is>
          <t>N-005</t>
        </is>
      </c>
      <c r="B6" s="13" t="inlineStr">
        <is>
          <t>Domain to application</t>
        </is>
      </c>
      <c r="C6" s="13" t="inlineStr">
        <is>
          <t>DOM-03</t>
        </is>
      </c>
      <c r="D6" s="13" t="inlineStr">
        <is>
          <t>APP-131</t>
        </is>
      </c>
      <c r="E6" s="13" t="inlineStr">
        <is>
          <t>Supplier onboarding service</t>
        </is>
      </c>
      <c r="F6" s="13" t="inlineStr"/>
      <c r="G6" s="13" t="inlineStr"/>
      <c r="H6" s="13" t="inlineStr"/>
      <c r="I6" s="13" t="inlineStr"/>
      <c r="J6" s="13" t="inlineStr">
        <is>
          <t>Integration team</t>
        </is>
      </c>
    </row>
    <row r="7">
      <c r="A7" s="13" t="inlineStr">
        <is>
          <t>N-006</t>
        </is>
      </c>
      <c r="B7" s="13" t="inlineStr">
        <is>
          <t>Domain to application</t>
        </is>
      </c>
      <c r="C7" s="13" t="inlineStr">
        <is>
          <t>DOM-03</t>
        </is>
      </c>
      <c r="D7" s="13" t="inlineStr">
        <is>
          <t>APP-077</t>
        </is>
      </c>
      <c r="E7" s="13" t="inlineStr">
        <is>
          <t>Data platform</t>
        </is>
      </c>
      <c r="F7" s="13" t="inlineStr"/>
      <c r="G7" s="13" t="inlineStr"/>
      <c r="H7" s="13" t="inlineStr"/>
      <c r="I7" s="13" t="inlineStr"/>
      <c r="J7" s="13" t="inlineStr">
        <is>
          <t>Data platform</t>
        </is>
      </c>
    </row>
    <row r="8">
      <c r="A8" s="13" t="inlineStr">
        <is>
          <t>N-007</t>
        </is>
      </c>
      <c r="B8" s="13" t="inlineStr">
        <is>
          <t>Application to object</t>
        </is>
      </c>
      <c r="C8" s="13" t="inlineStr">
        <is>
          <t>DOM-03</t>
        </is>
      </c>
      <c r="D8" s="13" t="inlineStr">
        <is>
          <t>APP-002</t>
        </is>
      </c>
      <c r="E8" s="13" t="inlineStr">
        <is>
          <t>Core ERP</t>
        </is>
      </c>
      <c r="F8" s="13" t="inlineStr">
        <is>
          <t>Supplier</t>
        </is>
      </c>
      <c r="G8" s="13" t="inlineStr"/>
      <c r="H8" s="13" t="inlineStr"/>
      <c r="I8" s="13" t="inlineStr"/>
      <c r="J8" s="13" t="inlineStr">
        <is>
          <t>Procurement ops</t>
        </is>
      </c>
    </row>
    <row r="9">
      <c r="A9" s="13" t="inlineStr">
        <is>
          <t>N-008</t>
        </is>
      </c>
      <c r="B9" s="13" t="inlineStr">
        <is>
          <t>Application to object</t>
        </is>
      </c>
      <c r="C9" s="13" t="inlineStr">
        <is>
          <t>DOM-03</t>
        </is>
      </c>
      <c r="D9" s="13" t="inlineStr">
        <is>
          <t>APP-101</t>
        </is>
      </c>
      <c r="E9" s="13" t="inlineStr">
        <is>
          <t>Contract system</t>
        </is>
      </c>
      <c r="F9" s="13" t="inlineStr">
        <is>
          <t>Contract</t>
        </is>
      </c>
      <c r="G9" s="13" t="inlineStr"/>
      <c r="H9" s="13" t="inlineStr"/>
      <c r="I9" s="13" t="inlineStr"/>
      <c r="J9" s="13" t="inlineStr">
        <is>
          <t>Legal ops</t>
        </is>
      </c>
    </row>
    <row r="10">
      <c r="A10" s="13" t="inlineStr">
        <is>
          <t>N-009</t>
        </is>
      </c>
      <c r="B10" s="13" t="inlineStr">
        <is>
          <t>Application to object</t>
        </is>
      </c>
      <c r="C10" s="13" t="inlineStr">
        <is>
          <t>DOM-03</t>
        </is>
      </c>
      <c r="D10" s="13" t="inlineStr">
        <is>
          <t>APP-002</t>
        </is>
      </c>
      <c r="E10" s="13" t="inlineStr">
        <is>
          <t>Core ERP</t>
        </is>
      </c>
      <c r="F10" s="13" t="inlineStr">
        <is>
          <t>Cost centre</t>
        </is>
      </c>
      <c r="G10" s="13" t="inlineStr"/>
      <c r="H10" s="13" t="inlineStr"/>
      <c r="I10" s="13" t="inlineStr"/>
      <c r="J10" s="13" t="inlineStr">
        <is>
          <t>Controlling</t>
        </is>
      </c>
    </row>
    <row r="11">
      <c r="A11" s="13" t="inlineStr">
        <is>
          <t>N-010</t>
        </is>
      </c>
      <c r="B11" s="13" t="inlineStr">
        <is>
          <t>Application to interface</t>
        </is>
      </c>
      <c r="C11" s="13" t="inlineStr">
        <is>
          <t>DOM-03</t>
        </is>
      </c>
      <c r="D11" s="13" t="inlineStr">
        <is>
          <t>APP-002</t>
        </is>
      </c>
      <c r="E11" s="13" t="inlineStr">
        <is>
          <t>Core ERP</t>
        </is>
      </c>
      <c r="F11" s="13" t="inlineStr"/>
      <c r="G11" s="13" t="inlineStr">
        <is>
          <t>INT-001</t>
        </is>
      </c>
      <c r="H11" s="13" t="inlineStr"/>
      <c r="I11" s="13" t="inlineStr"/>
      <c r="J11" s="13" t="inlineStr">
        <is>
          <t>Integration team</t>
        </is>
      </c>
    </row>
    <row r="12">
      <c r="A12" s="13" t="inlineStr">
        <is>
          <t>N-011</t>
        </is>
      </c>
      <c r="B12" s="13" t="inlineStr">
        <is>
          <t>Application to interface</t>
        </is>
      </c>
      <c r="C12" s="13" t="inlineStr">
        <is>
          <t>DOM-03</t>
        </is>
      </c>
      <c r="D12" s="13" t="inlineStr">
        <is>
          <t>APP-002</t>
        </is>
      </c>
      <c r="E12" s="13" t="inlineStr">
        <is>
          <t>Core ERP</t>
        </is>
      </c>
      <c r="F12" s="13" t="inlineStr"/>
      <c r="G12" s="13" t="inlineStr">
        <is>
          <t>INT-005</t>
        </is>
      </c>
      <c r="H12" s="13" t="inlineStr"/>
      <c r="I12" s="13" t="inlineStr"/>
      <c r="J12" s="13" t="inlineStr">
        <is>
          <t>Integration team</t>
        </is>
      </c>
    </row>
    <row r="13">
      <c r="A13" s="13" t="inlineStr">
        <is>
          <t>N-012</t>
        </is>
      </c>
      <c r="B13" s="13" t="inlineStr">
        <is>
          <t>Application to interface</t>
        </is>
      </c>
      <c r="C13" s="13" t="inlineStr">
        <is>
          <t>DOM-03</t>
        </is>
      </c>
      <c r="D13" s="13" t="inlineStr">
        <is>
          <t>APP-044</t>
        </is>
      </c>
      <c r="E13" s="13" t="inlineStr">
        <is>
          <t>Procurement portal</t>
        </is>
      </c>
      <c r="F13" s="13" t="inlineStr"/>
      <c r="G13" s="13" t="inlineStr">
        <is>
          <t>INT-012</t>
        </is>
      </c>
      <c r="H13" s="13" t="inlineStr"/>
      <c r="I13" s="13" t="inlineStr"/>
      <c r="J13" s="13" t="inlineStr">
        <is>
          <t>Procurement IT</t>
        </is>
      </c>
    </row>
    <row r="14">
      <c r="A14" s="13" t="inlineStr">
        <is>
          <t>N-013</t>
        </is>
      </c>
      <c r="B14" s="13" t="inlineStr">
        <is>
          <t>Application to interface</t>
        </is>
      </c>
      <c r="C14" s="13" t="inlineStr">
        <is>
          <t>DOM-03</t>
        </is>
      </c>
      <c r="D14" s="13" t="inlineStr">
        <is>
          <t>APP-118</t>
        </is>
      </c>
      <c r="E14" s="13" t="inlineStr">
        <is>
          <t>Market D register</t>
        </is>
      </c>
      <c r="F14" s="13" t="inlineStr"/>
      <c r="G14" s="13" t="inlineStr">
        <is>
          <t>INT-019</t>
        </is>
      </c>
      <c r="H14" s="13" t="inlineStr"/>
      <c r="I14" s="13" t="inlineStr">
        <is>
          <t>Market D</t>
        </is>
      </c>
      <c r="J14" s="13" t="inlineStr">
        <is>
          <t>Market D IT</t>
        </is>
      </c>
    </row>
    <row r="15">
      <c r="A15" s="13" t="inlineStr">
        <is>
          <t>N-014</t>
        </is>
      </c>
      <c r="B15" s="13" t="inlineStr">
        <is>
          <t>Application to interface</t>
        </is>
      </c>
      <c r="C15" s="13" t="inlineStr">
        <is>
          <t>DOM-03</t>
        </is>
      </c>
      <c r="D15" s="13" t="inlineStr">
        <is>
          <t>APP-101</t>
        </is>
      </c>
      <c r="E15" s="13" t="inlineStr">
        <is>
          <t>Contract system</t>
        </is>
      </c>
      <c r="F15" s="13" t="inlineStr"/>
      <c r="G15" s="13" t="inlineStr">
        <is>
          <t>INT-023</t>
        </is>
      </c>
      <c r="H15" s="13" t="inlineStr"/>
      <c r="I15" s="13" t="inlineStr"/>
      <c r="J15" s="13" t="inlineStr">
        <is>
          <t>Legal IT</t>
        </is>
      </c>
    </row>
    <row r="16">
      <c r="A16" s="13" t="inlineStr">
        <is>
          <t>N-015</t>
        </is>
      </c>
      <c r="B16" s="13" t="inlineStr">
        <is>
          <t>Application to interface</t>
        </is>
      </c>
      <c r="C16" s="13" t="inlineStr">
        <is>
          <t>DOM-03</t>
        </is>
      </c>
      <c r="D16" s="13" t="inlineStr">
        <is>
          <t>APP-131</t>
        </is>
      </c>
      <c r="E16" s="13" t="inlineStr">
        <is>
          <t>Onboarding service</t>
        </is>
      </c>
      <c r="F16" s="13" t="inlineStr"/>
      <c r="G16" s="13" t="inlineStr">
        <is>
          <t>INT-031</t>
        </is>
      </c>
      <c r="H16" s="13" t="inlineStr"/>
      <c r="I16" s="13" t="inlineStr"/>
      <c r="J16" s="13" t="inlineStr">
        <is>
          <t>Integration team</t>
        </is>
      </c>
    </row>
    <row r="17">
      <c r="A17" s="13" t="inlineStr">
        <is>
          <t>N-016</t>
        </is>
      </c>
      <c r="B17" s="13" t="inlineStr">
        <is>
          <t>Application to interface</t>
        </is>
      </c>
      <c r="C17" s="13" t="inlineStr">
        <is>
          <t>DOM-03</t>
        </is>
      </c>
      <c r="D17" s="13" t="inlineStr">
        <is>
          <t>APP-131</t>
        </is>
      </c>
      <c r="E17" s="13" t="inlineStr">
        <is>
          <t>Onboarding service</t>
        </is>
      </c>
      <c r="F17" s="13" t="inlineStr"/>
      <c r="G17" s="13" t="inlineStr">
        <is>
          <t>INT-032</t>
        </is>
      </c>
      <c r="H17" s="13" t="inlineStr"/>
      <c r="I17" s="13" t="inlineStr"/>
      <c r="J17" s="13" t="inlineStr">
        <is>
          <t>Integration team</t>
        </is>
      </c>
    </row>
    <row r="18">
      <c r="A18" s="13" t="inlineStr">
        <is>
          <t>N-017</t>
        </is>
      </c>
      <c r="B18" s="13" t="inlineStr">
        <is>
          <t>Application to interface</t>
        </is>
      </c>
      <c r="C18" s="13" t="inlineStr">
        <is>
          <t>DOM-03</t>
        </is>
      </c>
      <c r="D18" s="13" t="inlineStr">
        <is>
          <t>APP-077</t>
        </is>
      </c>
      <c r="E18" s="13" t="inlineStr">
        <is>
          <t>Data platform</t>
        </is>
      </c>
      <c r="F18" s="13" t="inlineStr"/>
      <c r="G18" s="13" t="inlineStr">
        <is>
          <t>INT-040</t>
        </is>
      </c>
      <c r="H18" s="13" t="inlineStr"/>
      <c r="I18" s="13" t="inlineStr"/>
      <c r="J18" s="13" t="inlineStr">
        <is>
          <t>Data platform</t>
        </is>
      </c>
    </row>
    <row r="19">
      <c r="A19" s="13" t="inlineStr">
        <is>
          <t>N-018</t>
        </is>
      </c>
      <c r="B19" s="13" t="inlineStr">
        <is>
          <t>Application to interface</t>
        </is>
      </c>
      <c r="C19" s="13" t="inlineStr">
        <is>
          <t>DOM-03</t>
        </is>
      </c>
      <c r="D19" s="13" t="inlineStr">
        <is>
          <t>APP-002</t>
        </is>
      </c>
      <c r="E19" s="13" t="inlineStr">
        <is>
          <t>Core ERP</t>
        </is>
      </c>
      <c r="F19" s="13" t="inlineStr"/>
      <c r="G19" s="13" t="inlineStr">
        <is>
          <t>INT-041</t>
        </is>
      </c>
      <c r="H19" s="13" t="inlineStr"/>
      <c r="I19" s="13" t="inlineStr"/>
      <c r="J19" s="13" t="inlineStr">
        <is>
          <t>Integration team</t>
        </is>
      </c>
    </row>
    <row r="20">
      <c r="A20" s="13" t="inlineStr">
        <is>
          <t>N-019</t>
        </is>
      </c>
      <c r="B20" s="13" t="inlineStr">
        <is>
          <t>Application to interface</t>
        </is>
      </c>
      <c r="C20" s="13" t="inlineStr">
        <is>
          <t>DOM-03</t>
        </is>
      </c>
      <c r="D20" s="13" t="inlineStr">
        <is>
          <t>APP-002</t>
        </is>
      </c>
      <c r="E20" s="13" t="inlineStr">
        <is>
          <t>Core ERP</t>
        </is>
      </c>
      <c r="F20" s="13" t="inlineStr"/>
      <c r="G20" s="13" t="inlineStr">
        <is>
          <t>INT-044</t>
        </is>
      </c>
      <c r="H20" s="13" t="inlineStr"/>
      <c r="I20" s="13" t="inlineStr"/>
      <c r="J20" s="13" t="inlineStr">
        <is>
          <t>Integration team</t>
        </is>
      </c>
    </row>
    <row r="21">
      <c r="A21" s="13" t="inlineStr">
        <is>
          <t>N-020</t>
        </is>
      </c>
      <c r="B21" s="13" t="inlineStr">
        <is>
          <t>Application to interface</t>
        </is>
      </c>
      <c r="C21" s="13" t="inlineStr">
        <is>
          <t>DOM-03</t>
        </is>
      </c>
      <c r="D21" s="13" t="inlineStr">
        <is>
          <t>APP-044</t>
        </is>
      </c>
      <c r="E21" s="13" t="inlineStr">
        <is>
          <t>Procurement portal</t>
        </is>
      </c>
      <c r="F21" s="13" t="inlineStr"/>
      <c r="G21" s="13" t="inlineStr">
        <is>
          <t>INT-047</t>
        </is>
      </c>
      <c r="H21" s="13" t="inlineStr"/>
      <c r="I21" s="13" t="inlineStr"/>
      <c r="J21" s="13" t="inlineStr">
        <is>
          <t>Procurement IT</t>
        </is>
      </c>
    </row>
    <row r="22">
      <c r="A22" s="13" t="inlineStr">
        <is>
          <t>N-022</t>
        </is>
      </c>
      <c r="B22" s="13" t="inlineStr">
        <is>
          <t>Application to component</t>
        </is>
      </c>
      <c r="C22" s="13" t="inlineStr">
        <is>
          <t>DOM-03</t>
        </is>
      </c>
      <c r="D22" s="13" t="inlineStr">
        <is>
          <t>APP-002</t>
        </is>
      </c>
      <c r="E22" s="13" t="inlineStr">
        <is>
          <t>Core ERP</t>
        </is>
      </c>
      <c r="F22" s="13" t="inlineStr"/>
      <c r="G22" s="13" t="inlineStr"/>
      <c r="H22" s="13" t="inlineStr">
        <is>
          <t>ITC-009</t>
        </is>
      </c>
      <c r="I22" s="13" t="inlineStr">
        <is>
          <t>EU</t>
        </is>
      </c>
      <c r="J22" s="13" t="inlineStr">
        <is>
          <t>IT operations</t>
        </is>
      </c>
    </row>
    <row r="23">
      <c r="A23" s="13" t="inlineStr">
        <is>
          <t>N-023</t>
        </is>
      </c>
      <c r="B23" s="13" t="inlineStr">
        <is>
          <t>Application to component</t>
        </is>
      </c>
      <c r="C23" s="13" t="inlineStr">
        <is>
          <t>DOM-03</t>
        </is>
      </c>
      <c r="D23" s="13" t="inlineStr">
        <is>
          <t>APP-118</t>
        </is>
      </c>
      <c r="E23" s="13" t="inlineStr">
        <is>
          <t>Market D register</t>
        </is>
      </c>
      <c r="F23" s="13" t="inlineStr"/>
      <c r="G23" s="13" t="inlineStr"/>
      <c r="H23" s="13" t="inlineStr">
        <is>
          <t>ITC-041</t>
        </is>
      </c>
      <c r="I23" s="13" t="inlineStr">
        <is>
          <t>Market D</t>
        </is>
      </c>
      <c r="J23" s="13" t="inlineStr">
        <is>
          <t>Market D IT</t>
        </is>
      </c>
    </row>
    <row r="24">
      <c r="A24" s="13" t="inlineStr">
        <is>
          <t>N-024</t>
        </is>
      </c>
      <c r="B24" s="13" t="inlineStr">
        <is>
          <t>Application to market</t>
        </is>
      </c>
      <c r="C24" s="13" t="inlineStr">
        <is>
          <t>DOM-03</t>
        </is>
      </c>
      <c r="D24" s="13" t="inlineStr">
        <is>
          <t>APP-002</t>
        </is>
      </c>
      <c r="E24" s="13" t="inlineStr">
        <is>
          <t>Core ERP</t>
        </is>
      </c>
      <c r="F24" s="13" t="inlineStr"/>
      <c r="G24" s="13" t="inlineStr"/>
      <c r="H24" s="13" t="inlineStr"/>
      <c r="I24" s="13" t="inlineStr">
        <is>
          <t>Market A</t>
        </is>
      </c>
      <c r="J24" s="13" t="inlineStr">
        <is>
          <t>Market A IT</t>
        </is>
      </c>
    </row>
    <row r="25">
      <c r="A25" s="13" t="inlineStr">
        <is>
          <t>N-025</t>
        </is>
      </c>
      <c r="B25" s="13" t="inlineStr">
        <is>
          <t>Application to market</t>
        </is>
      </c>
      <c r="C25" s="13" t="inlineStr">
        <is>
          <t>DOM-03</t>
        </is>
      </c>
      <c r="D25" s="13" t="inlineStr">
        <is>
          <t>APP-002</t>
        </is>
      </c>
      <c r="E25" s="13" t="inlineStr">
        <is>
          <t>Core ERP</t>
        </is>
      </c>
      <c r="F25" s="13" t="inlineStr"/>
      <c r="G25" s="13" t="inlineStr"/>
      <c r="H25" s="13" t="inlineStr"/>
      <c r="I25" s="13" t="inlineStr">
        <is>
          <t>Market B</t>
        </is>
      </c>
      <c r="J25" s="13" t="inlineStr">
        <is>
          <t>Market B IT</t>
        </is>
      </c>
    </row>
    <row r="26">
      <c r="A26" s="13" t="inlineStr">
        <is>
          <t>N-026</t>
        </is>
      </c>
      <c r="B26" s="13" t="inlineStr">
        <is>
          <t>Application to market</t>
        </is>
      </c>
      <c r="C26" s="13" t="inlineStr">
        <is>
          <t>DOM-03</t>
        </is>
      </c>
      <c r="D26" s="13" t="inlineStr">
        <is>
          <t>APP-118</t>
        </is>
      </c>
      <c r="E26" s="13" t="inlineStr">
        <is>
          <t>Market D register</t>
        </is>
      </c>
      <c r="F26" s="13" t="inlineStr"/>
      <c r="G26" s="13" t="inlineStr"/>
      <c r="H26" s="13" t="inlineStr"/>
      <c r="I26" s="13" t="inlineStr">
        <is>
          <t>Market D</t>
        </is>
      </c>
      <c r="J26" s="13" t="inlineStr">
        <is>
          <t>Market D IT</t>
        </is>
      </c>
    </row>
    <row r="27">
      <c r="A27" s="13" t="inlineStr">
        <is>
          <t>N-027</t>
        </is>
      </c>
      <c r="B27" s="13" t="inlineStr">
        <is>
          <t>Application to market</t>
        </is>
      </c>
      <c r="C27" s="13" t="inlineStr">
        <is>
          <t>DOM-03</t>
        </is>
      </c>
      <c r="D27" s="13" t="inlineStr">
        <is>
          <t>APP-131</t>
        </is>
      </c>
      <c r="E27" s="13" t="inlineStr">
        <is>
          <t>Onboarding service</t>
        </is>
      </c>
      <c r="F27" s="13" t="inlineStr"/>
      <c r="G27" s="13" t="inlineStr"/>
      <c r="H27" s="13" t="inlineStr"/>
      <c r="I27" s="13" t="inlineStr">
        <is>
          <t>Market E</t>
        </is>
      </c>
      <c r="J27" s="13" t="inlineStr">
        <is>
          <t>Market E IT</t>
        </is>
      </c>
    </row>
    <row r="28">
      <c r="A28" s="13" t="inlineStr">
        <is>
          <t>N-028</t>
        </is>
      </c>
      <c r="B28" s="13" t="inlineStr">
        <is>
          <t>Domain to application</t>
        </is>
      </c>
      <c r="C28" s="13" t="inlineStr">
        <is>
          <t>DOM-01</t>
        </is>
      </c>
      <c r="D28" s="13" t="inlineStr">
        <is>
          <t>APP-011</t>
        </is>
      </c>
      <c r="E28" s="13" t="inlineStr">
        <is>
          <t>CRM</t>
        </is>
      </c>
      <c r="F28" s="13" t="inlineStr"/>
      <c r="G28" s="13" t="inlineStr"/>
      <c r="H28" s="13" t="inlineStr"/>
      <c r="I28" s="13" t="inlineStr"/>
      <c r="J28" s="13" t="inlineStr">
        <is>
          <t>Marketing IT</t>
        </is>
      </c>
    </row>
    <row r="29">
      <c r="A29" s="13" t="inlineStr">
        <is>
          <t>N-029</t>
        </is>
      </c>
      <c r="B29" s="13" t="inlineStr">
        <is>
          <t>Domain to application</t>
        </is>
      </c>
      <c r="C29" s="13" t="inlineStr">
        <is>
          <t>DOM-01</t>
        </is>
      </c>
      <c r="D29" s="13" t="inlineStr">
        <is>
          <t>APP-023</t>
        </is>
      </c>
      <c r="E29" s="13" t="inlineStr">
        <is>
          <t>Commerce platform</t>
        </is>
      </c>
      <c r="F29" s="13" t="inlineStr"/>
      <c r="G29" s="13" t="inlineStr"/>
      <c r="H29" s="13" t="inlineStr"/>
      <c r="I29" s="13" t="inlineStr"/>
      <c r="J29" s="13" t="inlineStr">
        <is>
          <t>Digital</t>
        </is>
      </c>
    </row>
    <row r="30">
      <c r="A30" s="13" t="inlineStr">
        <is>
          <t>N-030</t>
        </is>
      </c>
      <c r="B30" s="13" t="inlineStr">
        <is>
          <t>Application to object</t>
        </is>
      </c>
      <c r="C30" s="13" t="inlineStr">
        <is>
          <t>DOM-01</t>
        </is>
      </c>
      <c r="D30" s="13" t="inlineStr">
        <is>
          <t>APP-011</t>
        </is>
      </c>
      <c r="E30" s="13" t="inlineStr">
        <is>
          <t>CRM</t>
        </is>
      </c>
      <c r="F30" s="13" t="inlineStr">
        <is>
          <t>Customer</t>
        </is>
      </c>
      <c r="G30" s="13" t="inlineStr"/>
      <c r="H30" s="13" t="inlineStr"/>
      <c r="I30" s="13" t="inlineStr"/>
      <c r="J30" s="13" t="inlineStr">
        <is>
          <t>CRM team</t>
        </is>
      </c>
    </row>
    <row r="31">
      <c r="A31" s="13" t="inlineStr">
        <is>
          <t>N-031</t>
        </is>
      </c>
      <c r="B31" s="13" t="inlineStr">
        <is>
          <t>Application to interface</t>
        </is>
      </c>
      <c r="C31" s="13" t="inlineStr">
        <is>
          <t>DOM-01</t>
        </is>
      </c>
      <c r="D31" s="13" t="inlineStr">
        <is>
          <t>APP-011</t>
        </is>
      </c>
      <c r="E31" s="13" t="inlineStr">
        <is>
          <t>CRM</t>
        </is>
      </c>
      <c r="F31" s="13" t="inlineStr"/>
      <c r="G31" s="13" t="inlineStr">
        <is>
          <t>INT-060</t>
        </is>
      </c>
      <c r="H31" s="13" t="inlineStr"/>
      <c r="I31" s="13" t="inlineStr"/>
      <c r="J31" s="13" t="inlineStr">
        <is>
          <t>CRM team</t>
        </is>
      </c>
    </row>
    <row r="32">
      <c r="A32" s="13" t="inlineStr">
        <is>
          <t>N-032</t>
        </is>
      </c>
      <c r="B32" s="13" t="inlineStr">
        <is>
          <t>Application to interface</t>
        </is>
      </c>
      <c r="C32" s="13" t="inlineStr">
        <is>
          <t>DOM-01</t>
        </is>
      </c>
      <c r="D32" s="13" t="inlineStr">
        <is>
          <t>APP-023</t>
        </is>
      </c>
      <c r="E32" s="13" t="inlineStr">
        <is>
          <t>Commerce platform</t>
        </is>
      </c>
      <c r="F32" s="13" t="inlineStr"/>
      <c r="G32" s="13" t="inlineStr">
        <is>
          <t>INT-061</t>
        </is>
      </c>
      <c r="H32" s="13" t="inlineStr"/>
      <c r="I32" s="13" t="inlineStr"/>
      <c r="J32" s="13" t="inlineStr">
        <is>
          <t>Digital</t>
        </is>
      </c>
    </row>
    <row r="33">
      <c r="A33" s="13" t="inlineStr">
        <is>
          <t>N-033</t>
        </is>
      </c>
      <c r="B33" s="13" t="inlineStr">
        <is>
          <t>Application to component</t>
        </is>
      </c>
      <c r="C33" s="13" t="inlineStr">
        <is>
          <t>DOM-01</t>
        </is>
      </c>
      <c r="D33" s="13" t="inlineStr">
        <is>
          <t>APP-011</t>
        </is>
      </c>
      <c r="E33" s="13" t="inlineStr">
        <is>
          <t>CRM</t>
        </is>
      </c>
      <c r="F33" s="13" t="inlineStr"/>
      <c r="G33" s="13" t="inlineStr"/>
      <c r="H33" s="13" t="inlineStr">
        <is>
          <t>ITC-014</t>
        </is>
      </c>
      <c r="I33" s="13" t="inlineStr">
        <is>
          <t>EU</t>
        </is>
      </c>
      <c r="J33" s="13" t="inlineStr">
        <is>
          <t>IT operations</t>
        </is>
      </c>
    </row>
    <row r="34">
      <c r="A34" s="13" t="inlineStr">
        <is>
          <t>N-034</t>
        </is>
      </c>
      <c r="B34" s="13" t="inlineStr">
        <is>
          <t>Application to market</t>
        </is>
      </c>
      <c r="C34" s="13" t="inlineStr">
        <is>
          <t>DOM-01</t>
        </is>
      </c>
      <c r="D34" s="13" t="inlineStr">
        <is>
          <t>APP-011</t>
        </is>
      </c>
      <c r="E34" s="13" t="inlineStr">
        <is>
          <t>CRM</t>
        </is>
      </c>
      <c r="F34" s="13" t="inlineStr"/>
      <c r="G34" s="13" t="inlineStr"/>
      <c r="H34" s="13" t="inlineStr"/>
      <c r="I34" s="13" t="inlineStr">
        <is>
          <t>Market A</t>
        </is>
      </c>
      <c r="J34" s="13" t="inlineStr">
        <is>
          <t>Market A IT</t>
        </is>
      </c>
    </row>
    <row r="35">
      <c r="A35" s="13" t="inlineStr">
        <is>
          <t>N-035</t>
        </is>
      </c>
      <c r="B35" s="13" t="inlineStr">
        <is>
          <t>Domain to application</t>
        </is>
      </c>
      <c r="C35" s="13" t="inlineStr">
        <is>
          <t>DOM-05</t>
        </is>
      </c>
      <c r="D35" s="13" t="inlineStr">
        <is>
          <t>APP-002</t>
        </is>
      </c>
      <c r="E35" s="13" t="inlineStr">
        <is>
          <t>Core ERP</t>
        </is>
      </c>
      <c r="F35" s="13" t="inlineStr"/>
      <c r="G35" s="13" t="inlineStr"/>
      <c r="H35" s="13" t="inlineStr"/>
      <c r="I35" s="13" t="inlineStr"/>
      <c r="J35" s="13" t="inlineStr">
        <is>
          <t>IT operations</t>
        </is>
      </c>
    </row>
    <row r="36">
      <c r="A36" s="13" t="inlineStr">
        <is>
          <t>N-036</t>
        </is>
      </c>
      <c r="B36" s="13" t="inlineStr">
        <is>
          <t>Domain to application</t>
        </is>
      </c>
      <c r="C36" s="13" t="inlineStr">
        <is>
          <t>DOM-05</t>
        </is>
      </c>
      <c r="D36" s="13" t="inlineStr">
        <is>
          <t>APP-131</t>
        </is>
      </c>
      <c r="E36" s="13" t="inlineStr">
        <is>
          <t>Pricing service</t>
        </is>
      </c>
      <c r="F36" s="13" t="inlineStr"/>
      <c r="G36" s="13" t="inlineStr"/>
      <c r="H36" s="13" t="inlineStr"/>
      <c r="I36" s="13" t="inlineStr"/>
      <c r="J36" s="13" t="inlineStr">
        <is>
          <t>Pricing IT</t>
        </is>
      </c>
    </row>
    <row r="37">
      <c r="A37" s="13" t="inlineStr">
        <is>
          <t>N-037</t>
        </is>
      </c>
      <c r="B37" s="13" t="inlineStr">
        <is>
          <t>Domain to application</t>
        </is>
      </c>
      <c r="C37" s="13" t="inlineStr">
        <is>
          <t>DOM-05</t>
        </is>
      </c>
      <c r="D37" s="13" t="inlineStr">
        <is>
          <t>APP-070</t>
        </is>
      </c>
      <c r="E37" s="13" t="inlineStr">
        <is>
          <t>Promotion tool</t>
        </is>
      </c>
      <c r="F37" s="13" t="inlineStr"/>
      <c r="G37" s="13" t="inlineStr"/>
      <c r="H37" s="13" t="inlineStr"/>
      <c r="I37" s="13" t="inlineStr"/>
      <c r="J37" s="13" t="inlineStr">
        <is>
          <t>Marketing IT</t>
        </is>
      </c>
    </row>
    <row r="38">
      <c r="A38" s="13" t="inlineStr">
        <is>
          <t>N-038</t>
        </is>
      </c>
      <c r="B38" s="13" t="inlineStr">
        <is>
          <t>Domain to application</t>
        </is>
      </c>
      <c r="C38" s="13" t="inlineStr">
        <is>
          <t>DOM-05</t>
        </is>
      </c>
      <c r="D38" s="13" t="inlineStr">
        <is>
          <t>APP-023</t>
        </is>
      </c>
      <c r="E38" s="13" t="inlineStr">
        <is>
          <t>Commerce platform</t>
        </is>
      </c>
      <c r="F38" s="13" t="inlineStr"/>
      <c r="G38" s="13" t="inlineStr"/>
      <c r="H38" s="13" t="inlineStr"/>
      <c r="I38" s="13" t="inlineStr"/>
      <c r="J38" s="13" t="inlineStr">
        <is>
          <t>Digital</t>
        </is>
      </c>
    </row>
    <row r="39">
      <c r="A39" s="13" t="inlineStr">
        <is>
          <t>N-039</t>
        </is>
      </c>
      <c r="B39" s="13" t="inlineStr">
        <is>
          <t>Application to object</t>
        </is>
      </c>
      <c r="C39" s="13" t="inlineStr">
        <is>
          <t>DOM-05</t>
        </is>
      </c>
      <c r="D39" s="13" t="inlineStr">
        <is>
          <t>APP-002</t>
        </is>
      </c>
      <c r="E39" s="13" t="inlineStr">
        <is>
          <t>Core ERP</t>
        </is>
      </c>
      <c r="F39" s="13" t="inlineStr">
        <is>
          <t>Price</t>
        </is>
      </c>
      <c r="G39" s="13" t="inlineStr"/>
      <c r="H39" s="13" t="inlineStr"/>
      <c r="I39" s="13" t="inlineStr"/>
      <c r="J39" s="13" t="inlineStr">
        <is>
          <t>Pricing</t>
        </is>
      </c>
    </row>
    <row r="40">
      <c r="A40" s="13" t="inlineStr">
        <is>
          <t>N-040</t>
        </is>
      </c>
      <c r="B40" s="13" t="inlineStr">
        <is>
          <t>Application to object</t>
        </is>
      </c>
      <c r="C40" s="13" t="inlineStr">
        <is>
          <t>DOM-05</t>
        </is>
      </c>
      <c r="D40" s="13" t="inlineStr">
        <is>
          <t>APP-070</t>
        </is>
      </c>
      <c r="E40" s="13" t="inlineStr">
        <is>
          <t>Promotion tool</t>
        </is>
      </c>
      <c r="F40" s="13" t="inlineStr">
        <is>
          <t>Promotion</t>
        </is>
      </c>
      <c r="G40" s="13" t="inlineStr"/>
      <c r="H40" s="13" t="inlineStr"/>
      <c r="I40" s="13" t="inlineStr"/>
      <c r="J40" s="13" t="inlineStr">
        <is>
          <t>Marketing</t>
        </is>
      </c>
    </row>
    <row r="41">
      <c r="A41" s="13" t="inlineStr">
        <is>
          <t>N-041</t>
        </is>
      </c>
      <c r="B41" s="13" t="inlineStr">
        <is>
          <t>Application to interface</t>
        </is>
      </c>
      <c r="C41" s="13" t="inlineStr">
        <is>
          <t>DOM-05</t>
        </is>
      </c>
      <c r="D41" s="13" t="inlineStr">
        <is>
          <t>APP-002</t>
        </is>
      </c>
      <c r="E41" s="13" t="inlineStr">
        <is>
          <t>Core ERP</t>
        </is>
      </c>
      <c r="F41" s="13" t="inlineStr"/>
      <c r="G41" s="13" t="inlineStr">
        <is>
          <t>INT-021</t>
        </is>
      </c>
      <c r="H41" s="13" t="inlineStr"/>
      <c r="I41" s="13" t="inlineStr"/>
      <c r="J41" s="13" t="inlineStr">
        <is>
          <t>Integration team</t>
        </is>
      </c>
    </row>
    <row r="42">
      <c r="A42" s="13" t="inlineStr">
        <is>
          <t>N-042</t>
        </is>
      </c>
      <c r="B42" s="13" t="inlineStr">
        <is>
          <t>Application to interface</t>
        </is>
      </c>
      <c r="C42" s="13" t="inlineStr">
        <is>
          <t>DOM-05</t>
        </is>
      </c>
      <c r="D42" s="13" t="inlineStr">
        <is>
          <t>APP-131</t>
        </is>
      </c>
      <c r="E42" s="13" t="inlineStr">
        <is>
          <t>Pricing service</t>
        </is>
      </c>
      <c r="F42" s="13" t="inlineStr"/>
      <c r="G42" s="13" t="inlineStr">
        <is>
          <t>INT-070</t>
        </is>
      </c>
      <c r="H42" s="13" t="inlineStr"/>
      <c r="I42" s="13" t="inlineStr"/>
      <c r="J42" s="13" t="inlineStr">
        <is>
          <t>Pricing IT</t>
        </is>
      </c>
    </row>
    <row r="43">
      <c r="A43" s="13" t="inlineStr">
        <is>
          <t>N-043</t>
        </is>
      </c>
      <c r="B43" s="13" t="inlineStr">
        <is>
          <t>Application to interface</t>
        </is>
      </c>
      <c r="C43" s="13" t="inlineStr">
        <is>
          <t>DOM-05</t>
        </is>
      </c>
      <c r="D43" s="13" t="inlineStr">
        <is>
          <t>APP-070</t>
        </is>
      </c>
      <c r="E43" s="13" t="inlineStr">
        <is>
          <t>Promotion tool</t>
        </is>
      </c>
      <c r="F43" s="13" t="inlineStr"/>
      <c r="G43" s="13" t="inlineStr">
        <is>
          <t>INT-071</t>
        </is>
      </c>
      <c r="H43" s="13" t="inlineStr"/>
      <c r="I43" s="13" t="inlineStr"/>
      <c r="J43" s="13" t="inlineStr">
        <is>
          <t>Marketing IT</t>
        </is>
      </c>
    </row>
    <row r="44">
      <c r="A44" s="13" t="inlineStr">
        <is>
          <t>N-044</t>
        </is>
      </c>
      <c r="B44" s="13" t="inlineStr">
        <is>
          <t>Application to component</t>
        </is>
      </c>
      <c r="C44" s="13" t="inlineStr">
        <is>
          <t>DOM-05</t>
        </is>
      </c>
      <c r="D44" s="13" t="inlineStr">
        <is>
          <t>APP-002</t>
        </is>
      </c>
      <c r="E44" s="13" t="inlineStr">
        <is>
          <t>Core ERP</t>
        </is>
      </c>
      <c r="F44" s="13" t="inlineStr"/>
      <c r="G44" s="13" t="inlineStr"/>
      <c r="H44" s="13" t="inlineStr">
        <is>
          <t>ITC-009</t>
        </is>
      </c>
      <c r="I44" s="13" t="inlineStr">
        <is>
          <t>EU</t>
        </is>
      </c>
      <c r="J44" s="13" t="inlineStr">
        <is>
          <t>IT operations</t>
        </is>
      </c>
    </row>
    <row r="45">
      <c r="A45" s="13" t="inlineStr">
        <is>
          <t>N-045</t>
        </is>
      </c>
      <c r="B45" s="13" t="inlineStr">
        <is>
          <t>Application to market</t>
        </is>
      </c>
      <c r="C45" s="13" t="inlineStr">
        <is>
          <t>DOM-05</t>
        </is>
      </c>
      <c r="D45" s="13" t="inlineStr">
        <is>
          <t>APP-002</t>
        </is>
      </c>
      <c r="E45" s="13" t="inlineStr">
        <is>
          <t>Core ERP</t>
        </is>
      </c>
      <c r="F45" s="13" t="inlineStr"/>
      <c r="G45" s="13" t="inlineStr"/>
      <c r="H45" s="13" t="inlineStr"/>
      <c r="I45" s="13" t="inlineStr">
        <is>
          <t>Market A</t>
        </is>
      </c>
      <c r="J45" s="13" t="inlineStr">
        <is>
          <t>Market A IT</t>
        </is>
      </c>
    </row>
    <row r="46">
      <c r="A46" s="13" t="inlineStr">
        <is>
          <t>N-046</t>
        </is>
      </c>
      <c r="B46" s="13" t="inlineStr">
        <is>
          <t>Application to market</t>
        </is>
      </c>
      <c r="C46" s="13" t="inlineStr">
        <is>
          <t>DOM-05</t>
        </is>
      </c>
      <c r="D46" s="13" t="inlineStr">
        <is>
          <t>APP-002</t>
        </is>
      </c>
      <c r="E46" s="13" t="inlineStr">
        <is>
          <t>Core ERP</t>
        </is>
      </c>
      <c r="F46" s="13" t="inlineStr"/>
      <c r="G46" s="13" t="inlineStr"/>
      <c r="H46" s="13" t="inlineStr"/>
      <c r="I46" s="13" t="inlineStr">
        <is>
          <t>Market B</t>
        </is>
      </c>
      <c r="J46" s="13" t="inlineStr">
        <is>
          <t>Market B IT</t>
        </is>
      </c>
    </row>
    <row r="47">
      <c r="A47" s="13" t="inlineStr">
        <is>
          <t>N-047</t>
        </is>
      </c>
      <c r="B47" s="13" t="inlineStr">
        <is>
          <t>Domain to application</t>
        </is>
      </c>
      <c r="C47" s="13" t="inlineStr">
        <is>
          <t>DOM-06</t>
        </is>
      </c>
      <c r="D47" s="13" t="inlineStr">
        <is>
          <t>APP-002</t>
        </is>
      </c>
      <c r="E47" s="13" t="inlineStr">
        <is>
          <t>Core ERP</t>
        </is>
      </c>
      <c r="F47" s="13" t="inlineStr"/>
      <c r="G47" s="13" t="inlineStr"/>
      <c r="H47" s="13" t="inlineStr"/>
      <c r="I47" s="13" t="inlineStr"/>
      <c r="J47" s="13" t="inlineStr">
        <is>
          <t>IT operations</t>
        </is>
      </c>
    </row>
    <row r="48">
      <c r="A48" s="13" t="inlineStr">
        <is>
          <t>N-048</t>
        </is>
      </c>
      <c r="B48" s="13" t="inlineStr">
        <is>
          <t>Domain to application</t>
        </is>
      </c>
      <c r="C48" s="13" t="inlineStr">
        <is>
          <t>DOM-06</t>
        </is>
      </c>
      <c r="D48" s="13" t="inlineStr">
        <is>
          <t>APP-088</t>
        </is>
      </c>
      <c r="E48" s="13" t="inlineStr">
        <is>
          <t>Warehouse system, markets A to C</t>
        </is>
      </c>
      <c r="F48" s="13" t="inlineStr"/>
      <c r="G48" s="13" t="inlineStr"/>
      <c r="H48" s="13" t="inlineStr"/>
      <c r="I48" s="13" t="inlineStr"/>
      <c r="J48" s="13" t="inlineStr">
        <is>
          <t>Logistics IT</t>
        </is>
      </c>
    </row>
    <row r="49">
      <c r="A49" s="13" t="inlineStr">
        <is>
          <t>N-049</t>
        </is>
      </c>
      <c r="B49" s="13" t="inlineStr">
        <is>
          <t>Domain to application</t>
        </is>
      </c>
      <c r="C49" s="13" t="inlineStr">
        <is>
          <t>DOM-06</t>
        </is>
      </c>
      <c r="D49" s="13" t="inlineStr">
        <is>
          <t>APP-119</t>
        </is>
      </c>
      <c r="E49" s="13" t="inlineStr">
        <is>
          <t>Market D warehouse system</t>
        </is>
      </c>
      <c r="F49" s="13" t="inlineStr"/>
      <c r="G49" s="13" t="inlineStr"/>
      <c r="H49" s="13" t="inlineStr"/>
      <c r="I49" s="13" t="inlineStr">
        <is>
          <t>Market D</t>
        </is>
      </c>
      <c r="J49" s="13" t="inlineStr">
        <is>
          <t>Market D IT</t>
        </is>
      </c>
    </row>
    <row r="50">
      <c r="A50" s="13" t="inlineStr">
        <is>
          <t>N-050</t>
        </is>
      </c>
      <c r="B50" s="13" t="inlineStr">
        <is>
          <t>Domain to application</t>
        </is>
      </c>
      <c r="C50" s="13" t="inlineStr">
        <is>
          <t>DOM-06</t>
        </is>
      </c>
      <c r="D50" s="13" t="inlineStr">
        <is>
          <t>APP-092</t>
        </is>
      </c>
      <c r="E50" s="13" t="inlineStr">
        <is>
          <t>Transport management</t>
        </is>
      </c>
      <c r="F50" s="13" t="inlineStr"/>
      <c r="G50" s="13" t="inlineStr"/>
      <c r="H50" s="13" t="inlineStr"/>
      <c r="I50" s="13" t="inlineStr"/>
      <c r="J50" s="13" t="inlineStr">
        <is>
          <t>Logistics IT</t>
        </is>
      </c>
    </row>
    <row r="51">
      <c r="A51" s="13" t="inlineStr">
        <is>
          <t>N-051</t>
        </is>
      </c>
      <c r="B51" s="13" t="inlineStr">
        <is>
          <t>Domain to application</t>
        </is>
      </c>
      <c r="C51" s="13" t="inlineStr">
        <is>
          <t>DOM-06</t>
        </is>
      </c>
      <c r="D51" s="13" t="inlineStr">
        <is>
          <t>APP-077</t>
        </is>
      </c>
      <c r="E51" s="13" t="inlineStr">
        <is>
          <t>Data platform</t>
        </is>
      </c>
      <c r="F51" s="13" t="inlineStr"/>
      <c r="G51" s="13" t="inlineStr"/>
      <c r="H51" s="13" t="inlineStr"/>
      <c r="I51" s="13" t="inlineStr"/>
      <c r="J51" s="13" t="inlineStr">
        <is>
          <t>Data platform</t>
        </is>
      </c>
    </row>
    <row r="52">
      <c r="A52" s="13" t="inlineStr">
        <is>
          <t>N-052</t>
        </is>
      </c>
      <c r="B52" s="13" t="inlineStr">
        <is>
          <t>Application to object</t>
        </is>
      </c>
      <c r="C52" s="13" t="inlineStr">
        <is>
          <t>DOM-06</t>
        </is>
      </c>
      <c r="D52" s="13" t="inlineStr">
        <is>
          <t>APP-002</t>
        </is>
      </c>
      <c r="E52" s="13" t="inlineStr">
        <is>
          <t>Core ERP</t>
        </is>
      </c>
      <c r="F52" s="13" t="inlineStr">
        <is>
          <t>Stock movement</t>
        </is>
      </c>
      <c r="G52" s="13" t="inlineStr"/>
      <c r="H52" s="13" t="inlineStr"/>
      <c r="I52" s="13" t="inlineStr"/>
      <c r="J52" s="13" t="inlineStr">
        <is>
          <t>Supply chain</t>
        </is>
      </c>
    </row>
    <row r="53">
      <c r="A53" s="13" t="inlineStr">
        <is>
          <t>N-053</t>
        </is>
      </c>
      <c r="B53" s="13" t="inlineStr">
        <is>
          <t>Application to interface</t>
        </is>
      </c>
      <c r="C53" s="13" t="inlineStr">
        <is>
          <t>DOM-06</t>
        </is>
      </c>
      <c r="D53" s="13" t="inlineStr">
        <is>
          <t>APP-088</t>
        </is>
      </c>
      <c r="E53" s="13" t="inlineStr">
        <is>
          <t>Warehouse system</t>
        </is>
      </c>
      <c r="F53" s="13" t="inlineStr"/>
      <c r="G53" s="13" t="inlineStr">
        <is>
          <t>INT-006</t>
        </is>
      </c>
      <c r="H53" s="13" t="inlineStr"/>
      <c r="I53" s="13" t="inlineStr"/>
      <c r="J53" s="13" t="inlineStr">
        <is>
          <t>Logistics IT</t>
        </is>
      </c>
    </row>
    <row r="54">
      <c r="A54" s="13" t="inlineStr">
        <is>
          <t>N-054</t>
        </is>
      </c>
      <c r="B54" s="13" t="inlineStr">
        <is>
          <t>Application to interface</t>
        </is>
      </c>
      <c r="C54" s="13" t="inlineStr">
        <is>
          <t>DOM-06</t>
        </is>
      </c>
      <c r="D54" s="13" t="inlineStr">
        <is>
          <t>APP-119</t>
        </is>
      </c>
      <c r="E54" s="13" t="inlineStr">
        <is>
          <t>Market D warehouse</t>
        </is>
      </c>
      <c r="F54" s="13" t="inlineStr"/>
      <c r="G54" s="13" t="inlineStr">
        <is>
          <t>INT-080</t>
        </is>
      </c>
      <c r="H54" s="13" t="inlineStr"/>
      <c r="I54" s="13" t="inlineStr"/>
      <c r="J54" s="13" t="inlineStr">
        <is>
          <t>Market D IT</t>
        </is>
      </c>
    </row>
    <row r="55">
      <c r="A55" s="13" t="inlineStr">
        <is>
          <t>N-055</t>
        </is>
      </c>
      <c r="B55" s="13" t="inlineStr">
        <is>
          <t>Application to interface</t>
        </is>
      </c>
      <c r="C55" s="13" t="inlineStr">
        <is>
          <t>DOM-06</t>
        </is>
      </c>
      <c r="D55" s="13" t="inlineStr">
        <is>
          <t>APP-092</t>
        </is>
      </c>
      <c r="E55" s="13" t="inlineStr">
        <is>
          <t>Transport management</t>
        </is>
      </c>
      <c r="F55" s="13" t="inlineStr"/>
      <c r="G55" s="13" t="inlineStr">
        <is>
          <t>INT-081</t>
        </is>
      </c>
      <c r="H55" s="13" t="inlineStr"/>
      <c r="I55" s="13" t="inlineStr"/>
      <c r="J55" s="13" t="inlineStr">
        <is>
          <t>Logistics IT</t>
        </is>
      </c>
    </row>
    <row r="56">
      <c r="A56" s="13" t="inlineStr">
        <is>
          <t>N-056</t>
        </is>
      </c>
      <c r="B56" s="13" t="inlineStr">
        <is>
          <t>Application to interface</t>
        </is>
      </c>
      <c r="C56" s="13" t="inlineStr">
        <is>
          <t>DOM-06</t>
        </is>
      </c>
      <c r="D56" s="13" t="inlineStr">
        <is>
          <t>APP-002</t>
        </is>
      </c>
      <c r="E56" s="13" t="inlineStr">
        <is>
          <t>Core ERP</t>
        </is>
      </c>
      <c r="F56" s="13" t="inlineStr"/>
      <c r="G56" s="13" t="inlineStr">
        <is>
          <t>INT-003</t>
        </is>
      </c>
      <c r="H56" s="13" t="inlineStr"/>
      <c r="I56" s="13" t="inlineStr"/>
      <c r="J56" s="13" t="inlineStr">
        <is>
          <t>Integration team</t>
        </is>
      </c>
    </row>
    <row r="57">
      <c r="A57" s="13" t="inlineStr">
        <is>
          <t>N-057</t>
        </is>
      </c>
      <c r="B57" s="13" t="inlineStr">
        <is>
          <t>Application to component</t>
        </is>
      </c>
      <c r="C57" s="13" t="inlineStr">
        <is>
          <t>DOM-06</t>
        </is>
      </c>
      <c r="D57" s="13" t="inlineStr">
        <is>
          <t>APP-119</t>
        </is>
      </c>
      <c r="E57" s="13" t="inlineStr">
        <is>
          <t>Market D warehouse</t>
        </is>
      </c>
      <c r="F57" s="13" t="inlineStr"/>
      <c r="G57" s="13" t="inlineStr"/>
      <c r="H57" s="13" t="inlineStr">
        <is>
          <t>ITC-055</t>
        </is>
      </c>
      <c r="I57" s="13" t="inlineStr">
        <is>
          <t>Market D</t>
        </is>
      </c>
      <c r="J57" s="13" t="inlineStr">
        <is>
          <t>Market D IT</t>
        </is>
      </c>
    </row>
    <row r="58">
      <c r="A58" s="13" t="inlineStr">
        <is>
          <t>N-058</t>
        </is>
      </c>
      <c r="B58" s="13" t="inlineStr">
        <is>
          <t>Application to market</t>
        </is>
      </c>
      <c r="C58" s="13" t="inlineStr">
        <is>
          <t>DOM-06</t>
        </is>
      </c>
      <c r="D58" s="13" t="inlineStr">
        <is>
          <t>APP-119</t>
        </is>
      </c>
      <c r="E58" s="13" t="inlineStr">
        <is>
          <t>Market D warehouse</t>
        </is>
      </c>
      <c r="F58" s="13" t="inlineStr"/>
      <c r="G58" s="13" t="inlineStr"/>
      <c r="H58" s="13" t="inlineStr"/>
      <c r="I58" s="13" t="inlineStr">
        <is>
          <t>Market D</t>
        </is>
      </c>
      <c r="J58" s="13" t="inlineStr">
        <is>
          <t>Market D IT</t>
        </is>
      </c>
    </row>
    <row r="59">
      <c r="A59" s="13" t="inlineStr">
        <is>
          <t>N-059</t>
        </is>
      </c>
      <c r="B59" s="13" t="inlineStr">
        <is>
          <t>Application to market</t>
        </is>
      </c>
      <c r="C59" s="13" t="inlineStr">
        <is>
          <t>DOM-06</t>
        </is>
      </c>
      <c r="D59" s="13" t="inlineStr">
        <is>
          <t>APP-088</t>
        </is>
      </c>
      <c r="E59" s="13" t="inlineStr">
        <is>
          <t>Warehouse system</t>
        </is>
      </c>
      <c r="F59" s="13" t="inlineStr"/>
      <c r="G59" s="13" t="inlineStr"/>
      <c r="H59" s="13" t="inlineStr"/>
      <c r="I59" s="13" t="inlineStr">
        <is>
          <t>Market A</t>
        </is>
      </c>
      <c r="J59" s="13" t="inlineStr">
        <is>
          <t>Market A IT</t>
        </is>
      </c>
    </row>
    <row r="60">
      <c r="A60" s="14" t="n"/>
      <c r="B60" s="14" t="n"/>
      <c r="C60" s="14" t="n"/>
      <c r="D60" s="14" t="n"/>
      <c r="E60" s="14" t="n"/>
      <c r="F60" s="14" t="n"/>
      <c r="G60" s="14" t="n"/>
      <c r="H60" s="14" t="n"/>
      <c r="I60" s="14" t="n"/>
      <c r="J60" s="14" t="n"/>
    </row>
    <row r="61">
      <c r="A61" s="14" t="n"/>
      <c r="B61" s="14" t="n"/>
      <c r="C61" s="14" t="n"/>
      <c r="D61" s="14" t="n"/>
      <c r="E61" s="14" t="n"/>
      <c r="F61" s="14" t="n"/>
      <c r="G61" s="14" t="n"/>
      <c r="H61" s="14" t="n"/>
      <c r="I61" s="14" t="n"/>
      <c r="J61" s="14" t="n"/>
    </row>
    <row r="62">
      <c r="A62" s="14" t="n"/>
      <c r="B62" s="14" t="n"/>
      <c r="C62" s="14" t="n"/>
      <c r="D62" s="14" t="n"/>
      <c r="E62" s="14" t="n"/>
      <c r="F62" s="14" t="n"/>
      <c r="G62" s="14" t="n"/>
      <c r="H62" s="14" t="n"/>
      <c r="I62" s="14" t="n"/>
      <c r="J62" s="14" t="n"/>
    </row>
    <row r="63">
      <c r="A63" s="14" t="n"/>
      <c r="B63" s="14" t="n"/>
      <c r="C63" s="14" t="n"/>
      <c r="D63" s="14" t="n"/>
      <c r="E63" s="14" t="n"/>
      <c r="F63" s="14" t="n"/>
      <c r="G63" s="14" t="n"/>
      <c r="H63" s="14" t="n"/>
      <c r="I63" s="14" t="n"/>
      <c r="J63" s="14" t="n"/>
    </row>
    <row r="64">
      <c r="A64" s="14" t="n"/>
      <c r="B64" s="14" t="n"/>
      <c r="C64" s="14" t="n"/>
      <c r="D64" s="14" t="n"/>
      <c r="E64" s="14" t="n"/>
      <c r="F64" s="14" t="n"/>
      <c r="G64" s="14" t="n"/>
      <c r="H64" s="14" t="n"/>
      <c r="I64" s="14" t="n"/>
      <c r="J64" s="14" t="n"/>
    </row>
    <row r="65">
      <c r="A65" s="14" t="n"/>
      <c r="B65" s="14" t="n"/>
      <c r="C65" s="14" t="n"/>
      <c r="D65" s="14" t="n"/>
      <c r="E65" s="14" t="n"/>
      <c r="F65" s="14" t="n"/>
      <c r="G65" s="14" t="n"/>
      <c r="H65" s="14" t="n"/>
      <c r="I65" s="14" t="n"/>
      <c r="J65" s="14" t="n"/>
    </row>
    <row r="66">
      <c r="A66" s="14" t="n"/>
      <c r="B66" s="14" t="n"/>
      <c r="C66" s="14" t="n"/>
      <c r="D66" s="14" t="n"/>
      <c r="E66" s="14" t="n"/>
      <c r="F66" s="14" t="n"/>
      <c r="G66" s="14" t="n"/>
      <c r="H66" s="14" t="n"/>
      <c r="I66" s="14" t="n"/>
      <c r="J66" s="14" t="n"/>
    </row>
    <row r="67">
      <c r="A67" s="14" t="n"/>
      <c r="B67" s="14" t="n"/>
      <c r="C67" s="14" t="n"/>
      <c r="D67" s="14" t="n"/>
      <c r="E67" s="14" t="n"/>
      <c r="F67" s="14" t="n"/>
      <c r="G67" s="14" t="n"/>
      <c r="H67" s="14" t="n"/>
      <c r="I67" s="14" t="n"/>
      <c r="J67" s="14" t="n"/>
    </row>
    <row r="68">
      <c r="A68" s="14" t="n"/>
      <c r="B68" s="14" t="n"/>
      <c r="C68" s="14" t="n"/>
      <c r="D68" s="14" t="n"/>
      <c r="E68" s="14" t="n"/>
      <c r="F68" s="14" t="n"/>
      <c r="G68" s="14" t="n"/>
      <c r="H68" s="14" t="n"/>
      <c r="I68" s="14" t="n"/>
      <c r="J68" s="14" t="n"/>
    </row>
    <row r="69">
      <c r="A69" s="14" t="n"/>
      <c r="B69" s="14" t="n"/>
      <c r="C69" s="14" t="n"/>
      <c r="D69" s="14" t="n"/>
      <c r="E69" s="14" t="n"/>
      <c r="F69" s="14" t="n"/>
      <c r="G69" s="14" t="n"/>
      <c r="H69" s="14" t="n"/>
      <c r="I69" s="14" t="n"/>
      <c r="J69" s="14" t="n"/>
    </row>
    <row r="70">
      <c r="A70" s="14" t="n"/>
      <c r="B70" s="14" t="n"/>
      <c r="C70" s="14" t="n"/>
      <c r="D70" s="14" t="n"/>
      <c r="E70" s="14" t="n"/>
      <c r="F70" s="14" t="n"/>
      <c r="G70" s="14" t="n"/>
      <c r="H70" s="14" t="n"/>
      <c r="I70" s="14" t="n"/>
      <c r="J70" s="14" t="n"/>
    </row>
    <row r="71">
      <c r="A71" s="14" t="n"/>
      <c r="B71" s="14" t="n"/>
      <c r="C71" s="14" t="n"/>
      <c r="D71" s="14" t="n"/>
      <c r="E71" s="14" t="n"/>
      <c r="F71" s="14" t="n"/>
      <c r="G71" s="14" t="n"/>
      <c r="H71" s="14" t="n"/>
      <c r="I71" s="14" t="n"/>
      <c r="J71" s="14" t="n"/>
    </row>
    <row r="72">
      <c r="A72" s="14" t="n"/>
      <c r="B72" s="14" t="n"/>
      <c r="C72" s="14" t="n"/>
      <c r="D72" s="14" t="n"/>
      <c r="E72" s="14" t="n"/>
      <c r="F72" s="14" t="n"/>
      <c r="G72" s="14" t="n"/>
      <c r="H72" s="14" t="n"/>
      <c r="I72" s="14" t="n"/>
      <c r="J72" s="14" t="n"/>
    </row>
    <row r="73">
      <c r="A73" s="14" t="n"/>
      <c r="B73" s="14" t="n"/>
      <c r="C73" s="14" t="n"/>
      <c r="D73" s="14" t="n"/>
      <c r="E73" s="14" t="n"/>
      <c r="F73" s="14" t="n"/>
      <c r="G73" s="14" t="n"/>
      <c r="H73" s="14" t="n"/>
      <c r="I73" s="14" t="n"/>
      <c r="J73" s="14" t="n"/>
    </row>
    <row r="74">
      <c r="A74" s="14" t="n"/>
      <c r="B74" s="14" t="n"/>
      <c r="C74" s="14" t="n"/>
      <c r="D74" s="14" t="n"/>
      <c r="E74" s="14" t="n"/>
      <c r="F74" s="14" t="n"/>
      <c r="G74" s="14" t="n"/>
      <c r="H74" s="14" t="n"/>
      <c r="I74" s="14" t="n"/>
      <c r="J74" s="14" t="n"/>
    </row>
    <row r="75">
      <c r="A75" s="14" t="n"/>
      <c r="B75" s="14" t="n"/>
      <c r="C75" s="14" t="n"/>
      <c r="D75" s="14" t="n"/>
      <c r="E75" s="14" t="n"/>
      <c r="F75" s="14" t="n"/>
      <c r="G75" s="14" t="n"/>
      <c r="H75" s="14" t="n"/>
      <c r="I75" s="14" t="n"/>
      <c r="J75" s="14" t="n"/>
    </row>
    <row r="76">
      <c r="A76" s="14" t="n"/>
      <c r="B76" s="14" t="n"/>
      <c r="C76" s="14" t="n"/>
      <c r="D76" s="14" t="n"/>
      <c r="E76" s="14" t="n"/>
      <c r="F76" s="14" t="n"/>
      <c r="G76" s="14" t="n"/>
      <c r="H76" s="14" t="n"/>
      <c r="I76" s="14" t="n"/>
      <c r="J76" s="14" t="n"/>
    </row>
    <row r="77">
      <c r="A77" s="14" t="n"/>
      <c r="B77" s="14" t="n"/>
      <c r="C77" s="14" t="n"/>
      <c r="D77" s="14" t="n"/>
      <c r="E77" s="14" t="n"/>
      <c r="F77" s="14" t="n"/>
      <c r="G77" s="14" t="n"/>
      <c r="H77" s="14" t="n"/>
      <c r="I77" s="14" t="n"/>
      <c r="J77" s="14" t="n"/>
    </row>
    <row r="78">
      <c r="A78" s="14" t="n"/>
      <c r="B78" s="14" t="n"/>
      <c r="C78" s="14" t="n"/>
      <c r="D78" s="14" t="n"/>
      <c r="E78" s="14" t="n"/>
      <c r="F78" s="14" t="n"/>
      <c r="G78" s="14" t="n"/>
      <c r="H78" s="14" t="n"/>
      <c r="I78" s="14" t="n"/>
      <c r="J78" s="14" t="n"/>
    </row>
    <row r="79">
      <c r="A79" s="14" t="n"/>
      <c r="B79" s="14" t="n"/>
      <c r="C79" s="14" t="n"/>
      <c r="D79" s="14" t="n"/>
      <c r="E79" s="14" t="n"/>
      <c r="F79" s="14" t="n"/>
      <c r="G79" s="14" t="n"/>
      <c r="H79" s="14" t="n"/>
      <c r="I79" s="14" t="n"/>
      <c r="J79" s="14" t="n"/>
    </row>
    <row r="80">
      <c r="A80" s="14" t="n"/>
      <c r="B80" s="14" t="n"/>
      <c r="C80" s="14" t="n"/>
      <c r="D80" s="14" t="n"/>
      <c r="E80" s="14" t="n"/>
      <c r="F80" s="14" t="n"/>
      <c r="G80" s="14" t="n"/>
      <c r="H80" s="14" t="n"/>
      <c r="I80" s="14" t="n"/>
      <c r="J80" s="14" t="n"/>
    </row>
    <row r="81">
      <c r="A81" s="14" t="n"/>
      <c r="B81" s="14" t="n"/>
      <c r="C81" s="14" t="n"/>
      <c r="D81" s="14" t="n"/>
      <c r="E81" s="14" t="n"/>
      <c r="F81" s="14" t="n"/>
      <c r="G81" s="14" t="n"/>
      <c r="H81" s="14" t="n"/>
      <c r="I81" s="14" t="n"/>
      <c r="J81" s="14" t="n"/>
    </row>
    <row r="82">
      <c r="A82" s="14" t="n"/>
      <c r="B82" s="14" t="n"/>
      <c r="C82" s="14" t="n"/>
      <c r="D82" s="14" t="n"/>
      <c r="E82" s="14" t="n"/>
      <c r="F82" s="14" t="n"/>
      <c r="G82" s="14" t="n"/>
      <c r="H82" s="14" t="n"/>
      <c r="I82" s="14" t="n"/>
      <c r="J82" s="14" t="n"/>
    </row>
    <row r="83">
      <c r="A83" s="14" t="n"/>
      <c r="B83" s="14" t="n"/>
      <c r="C83" s="14" t="n"/>
      <c r="D83" s="14" t="n"/>
      <c r="E83" s="14" t="n"/>
      <c r="F83" s="14" t="n"/>
      <c r="G83" s="14" t="n"/>
      <c r="H83" s="14" t="n"/>
      <c r="I83" s="14" t="n"/>
      <c r="J83" s="14" t="n"/>
    </row>
    <row r="84">
      <c r="A84" s="14" t="n"/>
      <c r="B84" s="14" t="n"/>
      <c r="C84" s="14" t="n"/>
      <c r="D84" s="14" t="n"/>
      <c r="E84" s="14" t="n"/>
      <c r="F84" s="14" t="n"/>
      <c r="G84" s="14" t="n"/>
      <c r="H84" s="14" t="n"/>
      <c r="I84" s="14" t="n"/>
      <c r="J84" s="14" t="n"/>
    </row>
    <row r="85">
      <c r="A85" s="14" t="n"/>
      <c r="B85" s="14" t="n"/>
      <c r="C85" s="14" t="n"/>
      <c r="D85" s="14" t="n"/>
      <c r="E85" s="14" t="n"/>
      <c r="F85" s="14" t="n"/>
      <c r="G85" s="14" t="n"/>
      <c r="H85" s="14" t="n"/>
      <c r="I85" s="14" t="n"/>
      <c r="J85" s="14" t="n"/>
    </row>
    <row r="86">
      <c r="A86" s="14" t="n"/>
      <c r="B86" s="14" t="n"/>
      <c r="C86" s="14" t="n"/>
      <c r="D86" s="14" t="n"/>
      <c r="E86" s="14" t="n"/>
      <c r="F86" s="14" t="n"/>
      <c r="G86" s="14" t="n"/>
      <c r="H86" s="14" t="n"/>
      <c r="I86" s="14" t="n"/>
      <c r="J86" s="14" t="n"/>
    </row>
    <row r="87">
      <c r="A87" s="14" t="n"/>
      <c r="B87" s="14" t="n"/>
      <c r="C87" s="14" t="n"/>
      <c r="D87" s="14" t="n"/>
      <c r="E87" s="14" t="n"/>
      <c r="F87" s="14" t="n"/>
      <c r="G87" s="14" t="n"/>
      <c r="H87" s="14" t="n"/>
      <c r="I87" s="14" t="n"/>
      <c r="J87" s="14" t="n"/>
    </row>
    <row r="88">
      <c r="A88" s="14" t="n"/>
      <c r="B88" s="14" t="n"/>
      <c r="C88" s="14" t="n"/>
      <c r="D88" s="14" t="n"/>
      <c r="E88" s="14" t="n"/>
      <c r="F88" s="14" t="n"/>
      <c r="G88" s="14" t="n"/>
      <c r="H88" s="14" t="n"/>
      <c r="I88" s="14" t="n"/>
      <c r="J88" s="14" t="n"/>
    </row>
    <row r="89">
      <c r="A89" s="14" t="n"/>
      <c r="B89" s="14" t="n"/>
      <c r="C89" s="14" t="n"/>
      <c r="D89" s="14" t="n"/>
      <c r="E89" s="14" t="n"/>
      <c r="F89" s="14" t="n"/>
      <c r="G89" s="14" t="n"/>
      <c r="H89" s="14" t="n"/>
      <c r="I89" s="14" t="n"/>
      <c r="J89" s="14" t="n"/>
    </row>
    <row r="90">
      <c r="A90" s="14" t="n"/>
      <c r="B90" s="14" t="n"/>
      <c r="C90" s="14" t="n"/>
      <c r="D90" s="14" t="n"/>
      <c r="E90" s="14" t="n"/>
      <c r="F90" s="14" t="n"/>
      <c r="G90" s="14" t="n"/>
      <c r="H90" s="14" t="n"/>
      <c r="I90" s="14" t="n"/>
      <c r="J90" s="14" t="n"/>
    </row>
    <row r="91">
      <c r="A91" s="14" t="n"/>
      <c r="B91" s="14" t="n"/>
      <c r="C91" s="14" t="n"/>
      <c r="D91" s="14" t="n"/>
      <c r="E91" s="14" t="n"/>
      <c r="F91" s="14" t="n"/>
      <c r="G91" s="14" t="n"/>
      <c r="H91" s="14" t="n"/>
      <c r="I91" s="14" t="n"/>
      <c r="J91" s="14" t="n"/>
    </row>
    <row r="92">
      <c r="A92" s="14" t="n"/>
      <c r="B92" s="14" t="n"/>
      <c r="C92" s="14" t="n"/>
      <c r="D92" s="14" t="n"/>
      <c r="E92" s="14" t="n"/>
      <c r="F92" s="14" t="n"/>
      <c r="G92" s="14" t="n"/>
      <c r="H92" s="14" t="n"/>
      <c r="I92" s="14" t="n"/>
      <c r="J92" s="14" t="n"/>
    </row>
    <row r="93">
      <c r="A93" s="14" t="n"/>
      <c r="B93" s="14" t="n"/>
      <c r="C93" s="14" t="n"/>
      <c r="D93" s="14" t="n"/>
      <c r="E93" s="14" t="n"/>
      <c r="F93" s="14" t="n"/>
      <c r="G93" s="14" t="n"/>
      <c r="H93" s="14" t="n"/>
      <c r="I93" s="14" t="n"/>
      <c r="J93" s="14" t="n"/>
    </row>
    <row r="94">
      <c r="A94" s="14" t="n"/>
      <c r="B94" s="14" t="n"/>
      <c r="C94" s="14" t="n"/>
      <c r="D94" s="14" t="n"/>
      <c r="E94" s="14" t="n"/>
      <c r="F94" s="14" t="n"/>
      <c r="G94" s="14" t="n"/>
      <c r="H94" s="14" t="n"/>
      <c r="I94" s="14" t="n"/>
      <c r="J94" s="14" t="n"/>
    </row>
    <row r="95">
      <c r="A95" s="14" t="n"/>
      <c r="B95" s="14" t="n"/>
      <c r="C95" s="14" t="n"/>
      <c r="D95" s="14" t="n"/>
      <c r="E95" s="14" t="n"/>
      <c r="F95" s="14" t="n"/>
      <c r="G95" s="14" t="n"/>
      <c r="H95" s="14" t="n"/>
      <c r="I95" s="14" t="n"/>
      <c r="J95" s="14" t="n"/>
    </row>
    <row r="96">
      <c r="A96" s="14" t="n"/>
      <c r="B96" s="14" t="n"/>
      <c r="C96" s="14" t="n"/>
      <c r="D96" s="14" t="n"/>
      <c r="E96" s="14" t="n"/>
      <c r="F96" s="14" t="n"/>
      <c r="G96" s="14" t="n"/>
      <c r="H96" s="14" t="n"/>
      <c r="I96" s="14" t="n"/>
      <c r="J96" s="14" t="n"/>
    </row>
    <row r="97">
      <c r="A97" s="14" t="n"/>
      <c r="B97" s="14" t="n"/>
      <c r="C97" s="14" t="n"/>
      <c r="D97" s="14" t="n"/>
      <c r="E97" s="14" t="n"/>
      <c r="F97" s="14" t="n"/>
      <c r="G97" s="14" t="n"/>
      <c r="H97" s="14" t="n"/>
      <c r="I97" s="14" t="n"/>
      <c r="J97" s="14" t="n"/>
    </row>
    <row r="98">
      <c r="A98" s="14" t="n"/>
      <c r="B98" s="14" t="n"/>
      <c r="C98" s="14" t="n"/>
      <c r="D98" s="14" t="n"/>
      <c r="E98" s="14" t="n"/>
      <c r="F98" s="14" t="n"/>
      <c r="G98" s="14" t="n"/>
      <c r="H98" s="14" t="n"/>
      <c r="I98" s="14" t="n"/>
      <c r="J98" s="14" t="n"/>
    </row>
    <row r="99">
      <c r="A99" s="14" t="n"/>
      <c r="B99" s="14" t="n"/>
      <c r="C99" s="14" t="n"/>
      <c r="D99" s="14" t="n"/>
      <c r="E99" s="14" t="n"/>
      <c r="F99" s="14" t="n"/>
      <c r="G99" s="14" t="n"/>
      <c r="H99" s="14" t="n"/>
      <c r="I99" s="14" t="n"/>
      <c r="J99" s="14" t="n"/>
    </row>
    <row r="100">
      <c r="A100" s="14" t="n"/>
      <c r="B100" s="14" t="n"/>
      <c r="C100" s="14" t="n"/>
      <c r="D100" s="14" t="n"/>
      <c r="E100" s="14" t="n"/>
      <c r="F100" s="14" t="n"/>
      <c r="G100" s="14" t="n"/>
      <c r="H100" s="14" t="n"/>
      <c r="I100" s="14" t="n"/>
      <c r="J100" s="14" t="n"/>
    </row>
    <row r="101">
      <c r="A101" s="14" t="n"/>
      <c r="B101" s="14" t="n"/>
      <c r="C101" s="14" t="n"/>
      <c r="D101" s="14" t="n"/>
      <c r="E101" s="14" t="n"/>
      <c r="F101" s="14" t="n"/>
      <c r="G101" s="14" t="n"/>
      <c r="H101" s="14" t="n"/>
      <c r="I101" s="14" t="n"/>
      <c r="J101" s="14" t="n"/>
    </row>
    <row r="102">
      <c r="A102" s="14" t="n"/>
      <c r="B102" s="14" t="n"/>
      <c r="C102" s="14" t="n"/>
      <c r="D102" s="14" t="n"/>
      <c r="E102" s="14" t="n"/>
      <c r="F102" s="14" t="n"/>
      <c r="G102" s="14" t="n"/>
      <c r="H102" s="14" t="n"/>
      <c r="I102" s="14" t="n"/>
      <c r="J102" s="14" t="n"/>
    </row>
    <row r="103">
      <c r="A103" s="14" t="n"/>
      <c r="B103" s="14" t="n"/>
      <c r="C103" s="14" t="n"/>
      <c r="D103" s="14" t="n"/>
      <c r="E103" s="14" t="n"/>
      <c r="F103" s="14" t="n"/>
      <c r="G103" s="14" t="n"/>
      <c r="H103" s="14" t="n"/>
      <c r="I103" s="14" t="n"/>
      <c r="J103" s="14" t="n"/>
    </row>
    <row r="104">
      <c r="A104" s="14" t="n"/>
      <c r="B104" s="14" t="n"/>
      <c r="C104" s="14" t="n"/>
      <c r="D104" s="14" t="n"/>
      <c r="E104" s="14" t="n"/>
      <c r="F104" s="14" t="n"/>
      <c r="G104" s="14" t="n"/>
      <c r="H104" s="14" t="n"/>
      <c r="I104" s="14" t="n"/>
      <c r="J104" s="14" t="n"/>
    </row>
    <row r="105">
      <c r="A105" s="14" t="n"/>
      <c r="B105" s="14" t="n"/>
      <c r="C105" s="14" t="n"/>
      <c r="D105" s="14" t="n"/>
      <c r="E105" s="14" t="n"/>
      <c r="F105" s="14" t="n"/>
      <c r="G105" s="14" t="n"/>
      <c r="H105" s="14" t="n"/>
      <c r="I105" s="14" t="n"/>
      <c r="J105" s="14" t="n"/>
    </row>
    <row r="106">
      <c r="A106" s="14" t="n"/>
      <c r="B106" s="14" t="n"/>
      <c r="C106" s="14" t="n"/>
      <c r="D106" s="14" t="n"/>
      <c r="E106" s="14" t="n"/>
      <c r="F106" s="14" t="n"/>
      <c r="G106" s="14" t="n"/>
      <c r="H106" s="14" t="n"/>
      <c r="I106" s="14" t="n"/>
      <c r="J106" s="14" t="n"/>
    </row>
    <row r="107">
      <c r="A107" s="14" t="n"/>
      <c r="B107" s="14" t="n"/>
      <c r="C107" s="14" t="n"/>
      <c r="D107" s="14" t="n"/>
      <c r="E107" s="14" t="n"/>
      <c r="F107" s="14" t="n"/>
      <c r="G107" s="14" t="n"/>
      <c r="H107" s="14" t="n"/>
      <c r="I107" s="14" t="n"/>
      <c r="J107" s="14" t="n"/>
    </row>
    <row r="108">
      <c r="A108" s="14" t="n"/>
      <c r="B108" s="14" t="n"/>
      <c r="C108" s="14" t="n"/>
      <c r="D108" s="14" t="n"/>
      <c r="E108" s="14" t="n"/>
      <c r="F108" s="14" t="n"/>
      <c r="G108" s="14" t="n"/>
      <c r="H108" s="14" t="n"/>
      <c r="I108" s="14" t="n"/>
      <c r="J108" s="14" t="n"/>
    </row>
    <row r="109">
      <c r="A109" s="14" t="n"/>
      <c r="B109" s="14" t="n"/>
      <c r="C109" s="14" t="n"/>
      <c r="D109" s="14" t="n"/>
      <c r="E109" s="14" t="n"/>
      <c r="F109" s="14" t="n"/>
      <c r="G109" s="14" t="n"/>
      <c r="H109" s="14" t="n"/>
      <c r="I109" s="14" t="n"/>
      <c r="J109" s="14" t="n"/>
    </row>
    <row r="110">
      <c r="A110" s="14" t="n"/>
      <c r="B110" s="14" t="n"/>
      <c r="C110" s="14" t="n"/>
      <c r="D110" s="14" t="n"/>
      <c r="E110" s="14" t="n"/>
      <c r="F110" s="14" t="n"/>
      <c r="G110" s="14" t="n"/>
      <c r="H110" s="14" t="n"/>
      <c r="I110" s="14" t="n"/>
      <c r="J110" s="14" t="n"/>
    </row>
    <row r="111">
      <c r="A111" s="14" t="n"/>
      <c r="B111" s="14" t="n"/>
      <c r="C111" s="14" t="n"/>
      <c r="D111" s="14" t="n"/>
      <c r="E111" s="14" t="n"/>
      <c r="F111" s="14" t="n"/>
      <c r="G111" s="14" t="n"/>
      <c r="H111" s="14" t="n"/>
      <c r="I111" s="14" t="n"/>
      <c r="J111" s="14" t="n"/>
    </row>
    <row r="112">
      <c r="A112" s="14" t="n"/>
      <c r="B112" s="14" t="n"/>
      <c r="C112" s="14" t="n"/>
      <c r="D112" s="14" t="n"/>
      <c r="E112" s="14" t="n"/>
      <c r="F112" s="14" t="n"/>
      <c r="G112" s="14" t="n"/>
      <c r="H112" s="14" t="n"/>
      <c r="I112" s="14" t="n"/>
      <c r="J112" s="14" t="n"/>
    </row>
    <row r="113">
      <c r="A113" s="14" t="n"/>
      <c r="B113" s="14" t="n"/>
      <c r="C113" s="14" t="n"/>
      <c r="D113" s="14" t="n"/>
      <c r="E113" s="14" t="n"/>
      <c r="F113" s="14" t="n"/>
      <c r="G113" s="14" t="n"/>
      <c r="H113" s="14" t="n"/>
      <c r="I113" s="14" t="n"/>
      <c r="J113" s="14" t="n"/>
    </row>
    <row r="114">
      <c r="A114" s="14" t="n"/>
      <c r="B114" s="14" t="n"/>
      <c r="C114" s="14" t="n"/>
      <c r="D114" s="14" t="n"/>
      <c r="E114" s="14" t="n"/>
      <c r="F114" s="14" t="n"/>
      <c r="G114" s="14" t="n"/>
      <c r="H114" s="14" t="n"/>
      <c r="I114" s="14" t="n"/>
      <c r="J114" s="14" t="n"/>
    </row>
    <row r="115">
      <c r="A115" s="14" t="n"/>
      <c r="B115" s="14" t="n"/>
      <c r="C115" s="14" t="n"/>
      <c r="D115" s="14" t="n"/>
      <c r="E115" s="14" t="n"/>
      <c r="F115" s="14" t="n"/>
      <c r="G115" s="14" t="n"/>
      <c r="H115" s="14" t="n"/>
      <c r="I115" s="14" t="n"/>
      <c r="J115" s="14" t="n"/>
    </row>
    <row r="116">
      <c r="A116" s="14" t="n"/>
      <c r="B116" s="14" t="n"/>
      <c r="C116" s="14" t="n"/>
      <c r="D116" s="14" t="n"/>
      <c r="E116" s="14" t="n"/>
      <c r="F116" s="14" t="n"/>
      <c r="G116" s="14" t="n"/>
      <c r="H116" s="14" t="n"/>
      <c r="I116" s="14" t="n"/>
      <c r="J116" s="14" t="n"/>
    </row>
    <row r="117">
      <c r="A117" s="14" t="n"/>
      <c r="B117" s="14" t="n"/>
      <c r="C117" s="14" t="n"/>
      <c r="D117" s="14" t="n"/>
      <c r="E117" s="14" t="n"/>
      <c r="F117" s="14" t="n"/>
      <c r="G117" s="14" t="n"/>
      <c r="H117" s="14" t="n"/>
      <c r="I117" s="14" t="n"/>
      <c r="J117" s="14" t="n"/>
    </row>
    <row r="118">
      <c r="A118" s="14" t="n"/>
      <c r="B118" s="14" t="n"/>
      <c r="C118" s="14" t="n"/>
      <c r="D118" s="14" t="n"/>
      <c r="E118" s="14" t="n"/>
      <c r="F118" s="14" t="n"/>
      <c r="G118" s="14" t="n"/>
      <c r="H118" s="14" t="n"/>
      <c r="I118" s="14" t="n"/>
      <c r="J118" s="14" t="n"/>
    </row>
    <row r="119">
      <c r="A119" s="14" t="n"/>
      <c r="B119" s="14" t="n"/>
      <c r="C119" s="14" t="n"/>
      <c r="D119" s="14" t="n"/>
      <c r="E119" s="14" t="n"/>
      <c r="F119" s="14" t="n"/>
      <c r="G119" s="14" t="n"/>
      <c r="H119" s="14" t="n"/>
      <c r="I119" s="14" t="n"/>
      <c r="J119" s="14" t="n"/>
    </row>
    <row r="120">
      <c r="A120" s="14" t="n"/>
      <c r="B120" s="14" t="n"/>
      <c r="C120" s="14" t="n"/>
      <c r="D120" s="14" t="n"/>
      <c r="E120" s="14" t="n"/>
      <c r="F120" s="14" t="n"/>
      <c r="G120" s="14" t="n"/>
      <c r="H120" s="14" t="n"/>
      <c r="I120" s="14" t="n"/>
      <c r="J120" s="14" t="n"/>
    </row>
    <row r="121">
      <c r="A121" s="14" t="n"/>
      <c r="B121" s="14" t="n"/>
      <c r="C121" s="14" t="n"/>
      <c r="D121" s="14" t="n"/>
      <c r="E121" s="14" t="n"/>
      <c r="F121" s="14" t="n"/>
      <c r="G121" s="14" t="n"/>
      <c r="H121" s="14" t="n"/>
      <c r="I121" s="14" t="n"/>
      <c r="J121" s="14" t="n"/>
    </row>
    <row r="122">
      <c r="A122" s="14" t="n"/>
      <c r="B122" s="14" t="n"/>
      <c r="C122" s="14" t="n"/>
      <c r="D122" s="14" t="n"/>
      <c r="E122" s="14" t="n"/>
      <c r="F122" s="14" t="n"/>
      <c r="G122" s="14" t="n"/>
      <c r="H122" s="14" t="n"/>
      <c r="I122" s="14" t="n"/>
      <c r="J122" s="14" t="n"/>
    </row>
    <row r="123">
      <c r="A123" s="14" t="n"/>
      <c r="B123" s="14" t="n"/>
      <c r="C123" s="14" t="n"/>
      <c r="D123" s="14" t="n"/>
      <c r="E123" s="14" t="n"/>
      <c r="F123" s="14" t="n"/>
      <c r="G123" s="14" t="n"/>
      <c r="H123" s="14" t="n"/>
      <c r="I123" s="14" t="n"/>
      <c r="J123" s="14" t="n"/>
    </row>
    <row r="124">
      <c r="A124" s="14" t="n"/>
      <c r="B124" s="14" t="n"/>
      <c r="C124" s="14" t="n"/>
      <c r="D124" s="14" t="n"/>
      <c r="E124" s="14" t="n"/>
      <c r="F124" s="14" t="n"/>
      <c r="G124" s="14" t="n"/>
      <c r="H124" s="14" t="n"/>
      <c r="I124" s="14" t="n"/>
      <c r="J124" s="14" t="n"/>
    </row>
    <row r="125">
      <c r="A125" s="14" t="n"/>
      <c r="B125" s="14" t="n"/>
      <c r="C125" s="14" t="n"/>
      <c r="D125" s="14" t="n"/>
      <c r="E125" s="14" t="n"/>
      <c r="F125" s="14" t="n"/>
      <c r="G125" s="14" t="n"/>
      <c r="H125" s="14" t="n"/>
      <c r="I125" s="14" t="n"/>
      <c r="J125" s="14" t="n"/>
    </row>
    <row r="126">
      <c r="A126" s="14" t="n"/>
      <c r="B126" s="14" t="n"/>
      <c r="C126" s="14" t="n"/>
      <c r="D126" s="14" t="n"/>
      <c r="E126" s="14" t="n"/>
      <c r="F126" s="14" t="n"/>
      <c r="G126" s="14" t="n"/>
      <c r="H126" s="14" t="n"/>
      <c r="I126" s="14" t="n"/>
      <c r="J126" s="14" t="n"/>
    </row>
    <row r="127">
      <c r="A127" s="14" t="n"/>
      <c r="B127" s="14" t="n"/>
      <c r="C127" s="14" t="n"/>
      <c r="D127" s="14" t="n"/>
      <c r="E127" s="14" t="n"/>
      <c r="F127" s="14" t="n"/>
      <c r="G127" s="14" t="n"/>
      <c r="H127" s="14" t="n"/>
      <c r="I127" s="14" t="n"/>
      <c r="J127" s="14" t="n"/>
    </row>
    <row r="128">
      <c r="A128" s="14" t="n"/>
      <c r="B128" s="14" t="n"/>
      <c r="C128" s="14" t="n"/>
      <c r="D128" s="14" t="n"/>
      <c r="E128" s="14" t="n"/>
      <c r="F128" s="14" t="n"/>
      <c r="G128" s="14" t="n"/>
      <c r="H128" s="14" t="n"/>
      <c r="I128" s="14" t="n"/>
      <c r="J128" s="14" t="n"/>
    </row>
    <row r="129">
      <c r="A129" s="14" t="n"/>
      <c r="B129" s="14" t="n"/>
      <c r="C129" s="14" t="n"/>
      <c r="D129" s="14" t="n"/>
      <c r="E129" s="14" t="n"/>
      <c r="F129" s="14" t="n"/>
      <c r="G129" s="14" t="n"/>
      <c r="H129" s="14" t="n"/>
      <c r="I129" s="14" t="n"/>
      <c r="J129" s="14" t="n"/>
    </row>
    <row r="130">
      <c r="A130" s="14" t="n"/>
      <c r="B130" s="14" t="n"/>
      <c r="C130" s="14" t="n"/>
      <c r="D130" s="14" t="n"/>
      <c r="E130" s="14" t="n"/>
      <c r="F130" s="14" t="n"/>
      <c r="G130" s="14" t="n"/>
      <c r="H130" s="14" t="n"/>
      <c r="I130" s="14" t="n"/>
      <c r="J130" s="14" t="n"/>
    </row>
    <row r="131">
      <c r="A131" s="14" t="n"/>
      <c r="B131" s="14" t="n"/>
      <c r="C131" s="14" t="n"/>
      <c r="D131" s="14" t="n"/>
      <c r="E131" s="14" t="n"/>
      <c r="F131" s="14" t="n"/>
      <c r="G131" s="14" t="n"/>
      <c r="H131" s="14" t="n"/>
      <c r="I131" s="14" t="n"/>
      <c r="J131" s="14" t="n"/>
    </row>
    <row r="132">
      <c r="A132" s="14" t="n"/>
      <c r="B132" s="14" t="n"/>
      <c r="C132" s="14" t="n"/>
      <c r="D132" s="14" t="n"/>
      <c r="E132" s="14" t="n"/>
      <c r="F132" s="14" t="n"/>
      <c r="G132" s="14" t="n"/>
      <c r="H132" s="14" t="n"/>
      <c r="I132" s="14" t="n"/>
      <c r="J132" s="14" t="n"/>
    </row>
    <row r="133">
      <c r="A133" s="14" t="n"/>
      <c r="B133" s="14" t="n"/>
      <c r="C133" s="14" t="n"/>
      <c r="D133" s="14" t="n"/>
      <c r="E133" s="14" t="n"/>
      <c r="F133" s="14" t="n"/>
      <c r="G133" s="14" t="n"/>
      <c r="H133" s="14" t="n"/>
      <c r="I133" s="14" t="n"/>
      <c r="J133" s="14" t="n"/>
    </row>
    <row r="134">
      <c r="A134" s="14" t="n"/>
      <c r="B134" s="14" t="n"/>
      <c r="C134" s="14" t="n"/>
      <c r="D134" s="14" t="n"/>
      <c r="E134" s="14" t="n"/>
      <c r="F134" s="14" t="n"/>
      <c r="G134" s="14" t="n"/>
      <c r="H134" s="14" t="n"/>
      <c r="I134" s="14" t="n"/>
      <c r="J134" s="14" t="n"/>
    </row>
    <row r="135">
      <c r="A135" s="14" t="n"/>
      <c r="B135" s="14" t="n"/>
      <c r="C135" s="14" t="n"/>
      <c r="D135" s="14" t="n"/>
      <c r="E135" s="14" t="n"/>
      <c r="F135" s="14" t="n"/>
      <c r="G135" s="14" t="n"/>
      <c r="H135" s="14" t="n"/>
      <c r="I135" s="14" t="n"/>
      <c r="J135" s="14" t="n"/>
    </row>
    <row r="136">
      <c r="A136" s="14" t="n"/>
      <c r="B136" s="14" t="n"/>
      <c r="C136" s="14" t="n"/>
      <c r="D136" s="14" t="n"/>
      <c r="E136" s="14" t="n"/>
      <c r="F136" s="14" t="n"/>
      <c r="G136" s="14" t="n"/>
      <c r="H136" s="14" t="n"/>
      <c r="I136" s="14" t="n"/>
      <c r="J136" s="14" t="n"/>
    </row>
    <row r="137">
      <c r="A137" s="14" t="n"/>
      <c r="B137" s="14" t="n"/>
      <c r="C137" s="14" t="n"/>
      <c r="D137" s="14" t="n"/>
      <c r="E137" s="14" t="n"/>
      <c r="F137" s="14" t="n"/>
      <c r="G137" s="14" t="n"/>
      <c r="H137" s="14" t="n"/>
      <c r="I137" s="14" t="n"/>
      <c r="J137" s="14" t="n"/>
    </row>
    <row r="138">
      <c r="A138" s="14" t="n"/>
      <c r="B138" s="14" t="n"/>
      <c r="C138" s="14" t="n"/>
      <c r="D138" s="14" t="n"/>
      <c r="E138" s="14" t="n"/>
      <c r="F138" s="14" t="n"/>
      <c r="G138" s="14" t="n"/>
      <c r="H138" s="14" t="n"/>
      <c r="I138" s="14" t="n"/>
      <c r="J138" s="14" t="n"/>
    </row>
    <row r="139">
      <c r="A139" s="14" t="n"/>
      <c r="B139" s="14" t="n"/>
      <c r="C139" s="14" t="n"/>
      <c r="D139" s="14" t="n"/>
      <c r="E139" s="14" t="n"/>
      <c r="F139" s="14" t="n"/>
      <c r="G139" s="14" t="n"/>
      <c r="H139" s="14" t="n"/>
      <c r="I139" s="14" t="n"/>
      <c r="J139" s="14" t="n"/>
    </row>
    <row r="140">
      <c r="A140" s="14" t="n"/>
      <c r="B140" s="14" t="n"/>
      <c r="C140" s="14" t="n"/>
      <c r="D140" s="14" t="n"/>
      <c r="E140" s="14" t="n"/>
      <c r="F140" s="14" t="n"/>
      <c r="G140" s="14" t="n"/>
      <c r="H140" s="14" t="n"/>
      <c r="I140" s="14" t="n"/>
      <c r="J140" s="14" t="n"/>
    </row>
    <row r="141">
      <c r="A141" s="14" t="n"/>
      <c r="B141" s="14" t="n"/>
      <c r="C141" s="14" t="n"/>
      <c r="D141" s="14" t="n"/>
      <c r="E141" s="14" t="n"/>
      <c r="F141" s="14" t="n"/>
      <c r="G141" s="14" t="n"/>
      <c r="H141" s="14" t="n"/>
      <c r="I141" s="14" t="n"/>
      <c r="J141" s="14" t="n"/>
    </row>
    <row r="142">
      <c r="A142" s="14" t="n"/>
      <c r="B142" s="14" t="n"/>
      <c r="C142" s="14" t="n"/>
      <c r="D142" s="14" t="n"/>
      <c r="E142" s="14" t="n"/>
      <c r="F142" s="14" t="n"/>
      <c r="G142" s="14" t="n"/>
      <c r="H142" s="14" t="n"/>
      <c r="I142" s="14" t="n"/>
      <c r="J142" s="14" t="n"/>
    </row>
    <row r="143">
      <c r="A143" s="14" t="n"/>
      <c r="B143" s="14" t="n"/>
      <c r="C143" s="14" t="n"/>
      <c r="D143" s="14" t="n"/>
      <c r="E143" s="14" t="n"/>
      <c r="F143" s="14" t="n"/>
      <c r="G143" s="14" t="n"/>
      <c r="H143" s="14" t="n"/>
      <c r="I143" s="14" t="n"/>
      <c r="J143" s="14" t="n"/>
    </row>
    <row r="144">
      <c r="A144" s="14" t="n"/>
      <c r="B144" s="14" t="n"/>
      <c r="C144" s="14" t="n"/>
      <c r="D144" s="14" t="n"/>
      <c r="E144" s="14" t="n"/>
      <c r="F144" s="14" t="n"/>
      <c r="G144" s="14" t="n"/>
      <c r="H144" s="14" t="n"/>
      <c r="I144" s="14" t="n"/>
      <c r="J144" s="14" t="n"/>
    </row>
    <row r="145">
      <c r="A145" s="14" t="n"/>
      <c r="B145" s="14" t="n"/>
      <c r="C145" s="14" t="n"/>
      <c r="D145" s="14" t="n"/>
      <c r="E145" s="14" t="n"/>
      <c r="F145" s="14" t="n"/>
      <c r="G145" s="14" t="n"/>
      <c r="H145" s="14" t="n"/>
      <c r="I145" s="14" t="n"/>
      <c r="J145" s="14" t="n"/>
    </row>
    <row r="146">
      <c r="A146" s="14" t="n"/>
      <c r="B146" s="14" t="n"/>
      <c r="C146" s="14" t="n"/>
      <c r="D146" s="14" t="n"/>
      <c r="E146" s="14" t="n"/>
      <c r="F146" s="14" t="n"/>
      <c r="G146" s="14" t="n"/>
      <c r="H146" s="14" t="n"/>
      <c r="I146" s="14" t="n"/>
      <c r="J146" s="14" t="n"/>
    </row>
    <row r="147">
      <c r="A147" s="14" t="n"/>
      <c r="B147" s="14" t="n"/>
      <c r="C147" s="14" t="n"/>
      <c r="D147" s="14" t="n"/>
      <c r="E147" s="14" t="n"/>
      <c r="F147" s="14" t="n"/>
      <c r="G147" s="14" t="n"/>
      <c r="H147" s="14" t="n"/>
      <c r="I147" s="14" t="n"/>
      <c r="J147" s="14" t="n"/>
    </row>
    <row r="148">
      <c r="A148" s="14" t="n"/>
      <c r="B148" s="14" t="n"/>
      <c r="C148" s="14" t="n"/>
      <c r="D148" s="14" t="n"/>
      <c r="E148" s="14" t="n"/>
      <c r="F148" s="14" t="n"/>
      <c r="G148" s="14" t="n"/>
      <c r="H148" s="14" t="n"/>
      <c r="I148" s="14" t="n"/>
      <c r="J148" s="14" t="n"/>
    </row>
    <row r="149">
      <c r="A149" s="14" t="n"/>
      <c r="B149" s="14" t="n"/>
      <c r="C149" s="14" t="n"/>
      <c r="D149" s="14" t="n"/>
      <c r="E149" s="14" t="n"/>
      <c r="F149" s="14" t="n"/>
      <c r="G149" s="14" t="n"/>
      <c r="H149" s="14" t="n"/>
      <c r="I149" s="14" t="n"/>
      <c r="J149" s="14" t="n"/>
    </row>
    <row r="150">
      <c r="A150" s="14" t="n"/>
      <c r="B150" s="14" t="n"/>
      <c r="C150" s="14" t="n"/>
      <c r="D150" s="14" t="n"/>
      <c r="E150" s="14" t="n"/>
      <c r="F150" s="14" t="n"/>
      <c r="G150" s="14" t="n"/>
      <c r="H150" s="14" t="n"/>
      <c r="I150" s="14" t="n"/>
      <c r="J150" s="14" t="n"/>
    </row>
    <row r="151">
      <c r="A151" s="14" t="n"/>
      <c r="B151" s="14" t="n"/>
      <c r="C151" s="14" t="n"/>
      <c r="D151" s="14" t="n"/>
      <c r="E151" s="14" t="n"/>
      <c r="F151" s="14" t="n"/>
      <c r="G151" s="14" t="n"/>
      <c r="H151" s="14" t="n"/>
      <c r="I151" s="14" t="n"/>
      <c r="J151" s="14" t="n"/>
    </row>
    <row r="152">
      <c r="A152" s="14" t="n"/>
      <c r="B152" s="14" t="n"/>
      <c r="C152" s="14" t="n"/>
      <c r="D152" s="14" t="n"/>
      <c r="E152" s="14" t="n"/>
      <c r="F152" s="14" t="n"/>
      <c r="G152" s="14" t="n"/>
      <c r="H152" s="14" t="n"/>
      <c r="I152" s="14" t="n"/>
      <c r="J152" s="14" t="n"/>
    </row>
    <row r="153">
      <c r="A153" s="14" t="n"/>
      <c r="B153" s="14" t="n"/>
      <c r="C153" s="14" t="n"/>
      <c r="D153" s="14" t="n"/>
      <c r="E153" s="14" t="n"/>
      <c r="F153" s="14" t="n"/>
      <c r="G153" s="14" t="n"/>
      <c r="H153" s="14" t="n"/>
      <c r="I153" s="14" t="n"/>
      <c r="J153" s="14" t="n"/>
    </row>
    <row r="154">
      <c r="A154" s="14" t="n"/>
      <c r="B154" s="14" t="n"/>
      <c r="C154" s="14" t="n"/>
      <c r="D154" s="14" t="n"/>
      <c r="E154" s="14" t="n"/>
      <c r="F154" s="14" t="n"/>
      <c r="G154" s="14" t="n"/>
      <c r="H154" s="14" t="n"/>
      <c r="I154" s="14" t="n"/>
      <c r="J154" s="14" t="n"/>
    </row>
    <row r="155">
      <c r="A155" s="14" t="n"/>
      <c r="B155" s="14" t="n"/>
      <c r="C155" s="14" t="n"/>
      <c r="D155" s="14" t="n"/>
      <c r="E155" s="14" t="n"/>
      <c r="F155" s="14" t="n"/>
      <c r="G155" s="14" t="n"/>
      <c r="H155" s="14" t="n"/>
      <c r="I155" s="14" t="n"/>
      <c r="J155" s="14" t="n"/>
    </row>
    <row r="156">
      <c r="A156" s="14" t="n"/>
      <c r="B156" s="14" t="n"/>
      <c r="C156" s="14" t="n"/>
      <c r="D156" s="14" t="n"/>
      <c r="E156" s="14" t="n"/>
      <c r="F156" s="14" t="n"/>
      <c r="G156" s="14" t="n"/>
      <c r="H156" s="14" t="n"/>
      <c r="I156" s="14" t="n"/>
      <c r="J156" s="14" t="n"/>
    </row>
    <row r="157">
      <c r="A157" s="14" t="n"/>
      <c r="B157" s="14" t="n"/>
      <c r="C157" s="14" t="n"/>
      <c r="D157" s="14" t="n"/>
      <c r="E157" s="14" t="n"/>
      <c r="F157" s="14" t="n"/>
      <c r="G157" s="14" t="n"/>
      <c r="H157" s="14" t="n"/>
      <c r="I157" s="14" t="n"/>
      <c r="J157" s="14" t="n"/>
    </row>
    <row r="158">
      <c r="A158" s="14" t="n"/>
      <c r="B158" s="14" t="n"/>
      <c r="C158" s="14" t="n"/>
      <c r="D158" s="14" t="n"/>
      <c r="E158" s="14" t="n"/>
      <c r="F158" s="14" t="n"/>
      <c r="G158" s="14" t="n"/>
      <c r="H158" s="14" t="n"/>
      <c r="I158" s="14" t="n"/>
      <c r="J158" s="14" t="n"/>
    </row>
    <row r="159">
      <c r="A159" s="14" t="n"/>
      <c r="B159" s="14" t="n"/>
      <c r="C159" s="14" t="n"/>
      <c r="D159" s="14" t="n"/>
      <c r="E159" s="14" t="n"/>
      <c r="F159" s="14" t="n"/>
      <c r="G159" s="14" t="n"/>
      <c r="H159" s="14" t="n"/>
      <c r="I159" s="14" t="n"/>
      <c r="J159" s="14" t="n"/>
    </row>
    <row r="160">
      <c r="A160" s="14" t="n"/>
      <c r="B160" s="14" t="n"/>
      <c r="C160" s="14" t="n"/>
      <c r="D160" s="14" t="n"/>
      <c r="E160" s="14" t="n"/>
      <c r="F160" s="14" t="n"/>
      <c r="G160" s="14" t="n"/>
      <c r="H160" s="14" t="n"/>
      <c r="I160" s="14" t="n"/>
      <c r="J160" s="14" t="n"/>
    </row>
    <row r="161">
      <c r="A161" s="14" t="n"/>
      <c r="B161" s="14" t="n"/>
      <c r="C161" s="14" t="n"/>
      <c r="D161" s="14" t="n"/>
      <c r="E161" s="14" t="n"/>
      <c r="F161" s="14" t="n"/>
      <c r="G161" s="14" t="n"/>
      <c r="H161" s="14" t="n"/>
      <c r="I161" s="14" t="n"/>
      <c r="J161" s="14" t="n"/>
    </row>
    <row r="162">
      <c r="A162" s="14" t="n"/>
      <c r="B162" s="14" t="n"/>
      <c r="C162" s="14" t="n"/>
      <c r="D162" s="14" t="n"/>
      <c r="E162" s="14" t="n"/>
      <c r="F162" s="14" t="n"/>
      <c r="G162" s="14" t="n"/>
      <c r="H162" s="14" t="n"/>
      <c r="I162" s="14" t="n"/>
      <c r="J162" s="14" t="n"/>
    </row>
    <row r="163">
      <c r="A163" s="14" t="n"/>
      <c r="B163" s="14" t="n"/>
      <c r="C163" s="14" t="n"/>
      <c r="D163" s="14" t="n"/>
      <c r="E163" s="14" t="n"/>
      <c r="F163" s="14" t="n"/>
      <c r="G163" s="14" t="n"/>
      <c r="H163" s="14" t="n"/>
      <c r="I163" s="14" t="n"/>
      <c r="J163" s="14" t="n"/>
    </row>
    <row r="164">
      <c r="A164" s="14" t="n"/>
      <c r="B164" s="14" t="n"/>
      <c r="C164" s="14" t="n"/>
      <c r="D164" s="14" t="n"/>
      <c r="E164" s="14" t="n"/>
      <c r="F164" s="14" t="n"/>
      <c r="G164" s="14" t="n"/>
      <c r="H164" s="14" t="n"/>
      <c r="I164" s="14" t="n"/>
      <c r="J164" s="14" t="n"/>
    </row>
    <row r="165">
      <c r="A165" s="14" t="n"/>
      <c r="B165" s="14" t="n"/>
      <c r="C165" s="14" t="n"/>
      <c r="D165" s="14" t="n"/>
      <c r="E165" s="14" t="n"/>
      <c r="F165" s="14" t="n"/>
      <c r="G165" s="14" t="n"/>
      <c r="H165" s="14" t="n"/>
      <c r="I165" s="14" t="n"/>
      <c r="J165" s="14" t="n"/>
    </row>
    <row r="166">
      <c r="A166" s="14" t="n"/>
      <c r="B166" s="14" t="n"/>
      <c r="C166" s="14" t="n"/>
      <c r="D166" s="14" t="n"/>
      <c r="E166" s="14" t="n"/>
      <c r="F166" s="14" t="n"/>
      <c r="G166" s="14" t="n"/>
      <c r="H166" s="14" t="n"/>
      <c r="I166" s="14" t="n"/>
      <c r="J166" s="14" t="n"/>
    </row>
    <row r="167">
      <c r="A167" s="14" t="n"/>
      <c r="B167" s="14" t="n"/>
      <c r="C167" s="14" t="n"/>
      <c r="D167" s="14" t="n"/>
      <c r="E167" s="14" t="n"/>
      <c r="F167" s="14" t="n"/>
      <c r="G167" s="14" t="n"/>
      <c r="H167" s="14" t="n"/>
      <c r="I167" s="14" t="n"/>
      <c r="J167" s="14" t="n"/>
    </row>
    <row r="168">
      <c r="A168" s="14" t="n"/>
      <c r="B168" s="14" t="n"/>
      <c r="C168" s="14" t="n"/>
      <c r="D168" s="14" t="n"/>
      <c r="E168" s="14" t="n"/>
      <c r="F168" s="14" t="n"/>
      <c r="G168" s="14" t="n"/>
      <c r="H168" s="14" t="n"/>
      <c r="I168" s="14" t="n"/>
      <c r="J168" s="14" t="n"/>
    </row>
    <row r="169">
      <c r="A169" s="14" t="n"/>
      <c r="B169" s="14" t="n"/>
      <c r="C169" s="14" t="n"/>
      <c r="D169" s="14" t="n"/>
      <c r="E169" s="14" t="n"/>
      <c r="F169" s="14" t="n"/>
      <c r="G169" s="14" t="n"/>
      <c r="H169" s="14" t="n"/>
      <c r="I169" s="14" t="n"/>
      <c r="J169" s="14" t="n"/>
    </row>
    <row r="170">
      <c r="A170" s="14" t="n"/>
      <c r="B170" s="14" t="n"/>
      <c r="C170" s="14" t="n"/>
      <c r="D170" s="14" t="n"/>
      <c r="E170" s="14" t="n"/>
      <c r="F170" s="14" t="n"/>
      <c r="G170" s="14" t="n"/>
      <c r="H170" s="14" t="n"/>
      <c r="I170" s="14" t="n"/>
      <c r="J170" s="14" t="n"/>
    </row>
    <row r="171">
      <c r="A171" s="14" t="n"/>
      <c r="B171" s="14" t="n"/>
      <c r="C171" s="14" t="n"/>
      <c r="D171" s="14" t="n"/>
      <c r="E171" s="14" t="n"/>
      <c r="F171" s="14" t="n"/>
      <c r="G171" s="14" t="n"/>
      <c r="H171" s="14" t="n"/>
      <c r="I171" s="14" t="n"/>
      <c r="J171" s="14" t="n"/>
    </row>
    <row r="172">
      <c r="A172" s="14" t="n"/>
      <c r="B172" s="14" t="n"/>
      <c r="C172" s="14" t="n"/>
      <c r="D172" s="14" t="n"/>
      <c r="E172" s="14" t="n"/>
      <c r="F172" s="14" t="n"/>
      <c r="G172" s="14" t="n"/>
      <c r="H172" s="14" t="n"/>
      <c r="I172" s="14" t="n"/>
      <c r="J172" s="14" t="n"/>
    </row>
    <row r="173">
      <c r="A173" s="14" t="n"/>
      <c r="B173" s="14" t="n"/>
      <c r="C173" s="14" t="n"/>
      <c r="D173" s="14" t="n"/>
      <c r="E173" s="14" t="n"/>
      <c r="F173" s="14" t="n"/>
      <c r="G173" s="14" t="n"/>
      <c r="H173" s="14" t="n"/>
      <c r="I173" s="14" t="n"/>
      <c r="J173" s="14" t="n"/>
    </row>
    <row r="174">
      <c r="A174" s="14" t="n"/>
      <c r="B174" s="14" t="n"/>
      <c r="C174" s="14" t="n"/>
      <c r="D174" s="14" t="n"/>
      <c r="E174" s="14" t="n"/>
      <c r="F174" s="14" t="n"/>
      <c r="G174" s="14" t="n"/>
      <c r="H174" s="14" t="n"/>
      <c r="I174" s="14" t="n"/>
      <c r="J174" s="14" t="n"/>
    </row>
    <row r="175">
      <c r="A175" s="14" t="n"/>
      <c r="B175" s="14" t="n"/>
      <c r="C175" s="14" t="n"/>
      <c r="D175" s="14" t="n"/>
      <c r="E175" s="14" t="n"/>
      <c r="F175" s="14" t="n"/>
      <c r="G175" s="14" t="n"/>
      <c r="H175" s="14" t="n"/>
      <c r="I175" s="14" t="n"/>
      <c r="J175" s="14" t="n"/>
    </row>
    <row r="176">
      <c r="A176" s="14" t="n"/>
      <c r="B176" s="14" t="n"/>
      <c r="C176" s="14" t="n"/>
      <c r="D176" s="14" t="n"/>
      <c r="E176" s="14" t="n"/>
      <c r="F176" s="14" t="n"/>
      <c r="G176" s="14" t="n"/>
      <c r="H176" s="14" t="n"/>
      <c r="I176" s="14" t="n"/>
      <c r="J176" s="14" t="n"/>
    </row>
    <row r="177">
      <c r="A177" s="14" t="n"/>
      <c r="B177" s="14" t="n"/>
      <c r="C177" s="14" t="n"/>
      <c r="D177" s="14" t="n"/>
      <c r="E177" s="14" t="n"/>
      <c r="F177" s="14" t="n"/>
      <c r="G177" s="14" t="n"/>
      <c r="H177" s="14" t="n"/>
      <c r="I177" s="14" t="n"/>
      <c r="J177" s="14" t="n"/>
    </row>
    <row r="178">
      <c r="A178" s="14" t="n"/>
      <c r="B178" s="14" t="n"/>
      <c r="C178" s="14" t="n"/>
      <c r="D178" s="14" t="n"/>
      <c r="E178" s="14" t="n"/>
      <c r="F178" s="14" t="n"/>
      <c r="G178" s="14" t="n"/>
      <c r="H178" s="14" t="n"/>
      <c r="I178" s="14" t="n"/>
      <c r="J178" s="14" t="n"/>
    </row>
    <row r="179">
      <c r="A179" s="14" t="n"/>
      <c r="B179" s="14" t="n"/>
      <c r="C179" s="14" t="n"/>
      <c r="D179" s="14" t="n"/>
      <c r="E179" s="14" t="n"/>
      <c r="F179" s="14" t="n"/>
      <c r="G179" s="14" t="n"/>
      <c r="H179" s="14" t="n"/>
      <c r="I179" s="14" t="n"/>
      <c r="J179" s="14" t="n"/>
    </row>
    <row r="180">
      <c r="A180" s="14" t="n"/>
      <c r="B180" s="14" t="n"/>
      <c r="C180" s="14" t="n"/>
      <c r="D180" s="14" t="n"/>
      <c r="E180" s="14" t="n"/>
      <c r="F180" s="14" t="n"/>
      <c r="G180" s="14" t="n"/>
      <c r="H180" s="14" t="n"/>
      <c r="I180" s="14" t="n"/>
      <c r="J180" s="14" t="n"/>
    </row>
    <row r="181">
      <c r="A181" s="14" t="n"/>
      <c r="B181" s="14" t="n"/>
      <c r="C181" s="14" t="n"/>
      <c r="D181" s="14" t="n"/>
      <c r="E181" s="14" t="n"/>
      <c r="F181" s="14" t="n"/>
      <c r="G181" s="14" t="n"/>
      <c r="H181" s="14" t="n"/>
      <c r="I181" s="14" t="n"/>
      <c r="J181" s="14" t="n"/>
    </row>
    <row r="182">
      <c r="A182" s="14" t="n"/>
      <c r="B182" s="14" t="n"/>
      <c r="C182" s="14" t="n"/>
      <c r="D182" s="14" t="n"/>
      <c r="E182" s="14" t="n"/>
      <c r="F182" s="14" t="n"/>
      <c r="G182" s="14" t="n"/>
      <c r="H182" s="14" t="n"/>
      <c r="I182" s="14" t="n"/>
      <c r="J182" s="14" t="n"/>
    </row>
    <row r="183">
      <c r="A183" s="14" t="n"/>
      <c r="B183" s="14" t="n"/>
      <c r="C183" s="14" t="n"/>
      <c r="D183" s="14" t="n"/>
      <c r="E183" s="14" t="n"/>
      <c r="F183" s="14" t="n"/>
      <c r="G183" s="14" t="n"/>
      <c r="H183" s="14" t="n"/>
      <c r="I183" s="14" t="n"/>
      <c r="J183" s="14" t="n"/>
    </row>
    <row r="184">
      <c r="A184" s="14" t="n"/>
      <c r="B184" s="14" t="n"/>
      <c r="C184" s="14" t="n"/>
      <c r="D184" s="14" t="n"/>
      <c r="E184" s="14" t="n"/>
      <c r="F184" s="14" t="n"/>
      <c r="G184" s="14" t="n"/>
      <c r="H184" s="14" t="n"/>
      <c r="I184" s="14" t="n"/>
      <c r="J184" s="14" t="n"/>
    </row>
    <row r="185">
      <c r="A185" s="14" t="n"/>
      <c r="B185" s="14" t="n"/>
      <c r="C185" s="14" t="n"/>
      <c r="D185" s="14" t="n"/>
      <c r="E185" s="14" t="n"/>
      <c r="F185" s="14" t="n"/>
      <c r="G185" s="14" t="n"/>
      <c r="H185" s="14" t="n"/>
      <c r="I185" s="14" t="n"/>
      <c r="J185" s="14" t="n"/>
    </row>
    <row r="186">
      <c r="A186" s="14" t="n"/>
      <c r="B186" s="14" t="n"/>
      <c r="C186" s="14" t="n"/>
      <c r="D186" s="14" t="n"/>
      <c r="E186" s="14" t="n"/>
      <c r="F186" s="14" t="n"/>
      <c r="G186" s="14" t="n"/>
      <c r="H186" s="14" t="n"/>
      <c r="I186" s="14" t="n"/>
      <c r="J186" s="14" t="n"/>
    </row>
    <row r="187">
      <c r="A187" s="14" t="n"/>
      <c r="B187" s="14" t="n"/>
      <c r="C187" s="14" t="n"/>
      <c r="D187" s="14" t="n"/>
      <c r="E187" s="14" t="n"/>
      <c r="F187" s="14" t="n"/>
      <c r="G187" s="14" t="n"/>
      <c r="H187" s="14" t="n"/>
      <c r="I187" s="14" t="n"/>
      <c r="J187" s="14" t="n"/>
    </row>
    <row r="188">
      <c r="A188" s="14" t="n"/>
      <c r="B188" s="14" t="n"/>
      <c r="C188" s="14" t="n"/>
      <c r="D188" s="14" t="n"/>
      <c r="E188" s="14" t="n"/>
      <c r="F188" s="14" t="n"/>
      <c r="G188" s="14" t="n"/>
      <c r="H188" s="14" t="n"/>
      <c r="I188" s="14" t="n"/>
      <c r="J188" s="14" t="n"/>
    </row>
    <row r="189">
      <c r="A189" s="14" t="n"/>
      <c r="B189" s="14" t="n"/>
      <c r="C189" s="14" t="n"/>
      <c r="D189" s="14" t="n"/>
      <c r="E189" s="14" t="n"/>
      <c r="F189" s="14" t="n"/>
      <c r="G189" s="14" t="n"/>
      <c r="H189" s="14" t="n"/>
      <c r="I189" s="14" t="n"/>
      <c r="J189" s="14" t="n"/>
    </row>
    <row r="190">
      <c r="A190" s="14" t="n"/>
      <c r="B190" s="14" t="n"/>
      <c r="C190" s="14" t="n"/>
      <c r="D190" s="14" t="n"/>
      <c r="E190" s="14" t="n"/>
      <c r="F190" s="14" t="n"/>
      <c r="G190" s="14" t="n"/>
      <c r="H190" s="14" t="n"/>
      <c r="I190" s="14" t="n"/>
      <c r="J190" s="14" t="n"/>
    </row>
    <row r="191">
      <c r="A191" s="14" t="n"/>
      <c r="B191" s="14" t="n"/>
      <c r="C191" s="14" t="n"/>
      <c r="D191" s="14" t="n"/>
      <c r="E191" s="14" t="n"/>
      <c r="F191" s="14" t="n"/>
      <c r="G191" s="14" t="n"/>
      <c r="H191" s="14" t="n"/>
      <c r="I191" s="14" t="n"/>
      <c r="J191" s="14" t="n"/>
    </row>
    <row r="192">
      <c r="A192" s="14" t="n"/>
      <c r="B192" s="14" t="n"/>
      <c r="C192" s="14" t="n"/>
      <c r="D192" s="14" t="n"/>
      <c r="E192" s="14" t="n"/>
      <c r="F192" s="14" t="n"/>
      <c r="G192" s="14" t="n"/>
      <c r="H192" s="14" t="n"/>
      <c r="I192" s="14" t="n"/>
      <c r="J192" s="14" t="n"/>
    </row>
    <row r="193">
      <c r="A193" s="14" t="n"/>
      <c r="B193" s="14" t="n"/>
      <c r="C193" s="14" t="n"/>
      <c r="D193" s="14" t="n"/>
      <c r="E193" s="14" t="n"/>
      <c r="F193" s="14" t="n"/>
      <c r="G193" s="14" t="n"/>
      <c r="H193" s="14" t="n"/>
      <c r="I193" s="14" t="n"/>
      <c r="J193" s="14" t="n"/>
    </row>
    <row r="194">
      <c r="A194" s="14" t="n"/>
      <c r="B194" s="14" t="n"/>
      <c r="C194" s="14" t="n"/>
      <c r="D194" s="14" t="n"/>
      <c r="E194" s="14" t="n"/>
      <c r="F194" s="14" t="n"/>
      <c r="G194" s="14" t="n"/>
      <c r="H194" s="14" t="n"/>
      <c r="I194" s="14" t="n"/>
      <c r="J194" s="14" t="n"/>
    </row>
    <row r="195">
      <c r="A195" s="14" t="n"/>
      <c r="B195" s="14" t="n"/>
      <c r="C195" s="14" t="n"/>
      <c r="D195" s="14" t="n"/>
      <c r="E195" s="14" t="n"/>
      <c r="F195" s="14" t="n"/>
      <c r="G195" s="14" t="n"/>
      <c r="H195" s="14" t="n"/>
      <c r="I195" s="14" t="n"/>
      <c r="J195" s="14" t="n"/>
    </row>
    <row r="196">
      <c r="A196" s="14" t="n"/>
      <c r="B196" s="14" t="n"/>
      <c r="C196" s="14" t="n"/>
      <c r="D196" s="14" t="n"/>
      <c r="E196" s="14" t="n"/>
      <c r="F196" s="14" t="n"/>
      <c r="G196" s="14" t="n"/>
      <c r="H196" s="14" t="n"/>
      <c r="I196" s="14" t="n"/>
      <c r="J196" s="14" t="n"/>
    </row>
    <row r="197">
      <c r="A197" s="14" t="n"/>
      <c r="B197" s="14" t="n"/>
      <c r="C197" s="14" t="n"/>
      <c r="D197" s="14" t="n"/>
      <c r="E197" s="14" t="n"/>
      <c r="F197" s="14" t="n"/>
      <c r="G197" s="14" t="n"/>
      <c r="H197" s="14" t="n"/>
      <c r="I197" s="14" t="n"/>
      <c r="J197" s="14" t="n"/>
    </row>
    <row r="198">
      <c r="A198" s="14" t="n"/>
      <c r="B198" s="14" t="n"/>
      <c r="C198" s="14" t="n"/>
      <c r="D198" s="14" t="n"/>
      <c r="E198" s="14" t="n"/>
      <c r="F198" s="14" t="n"/>
      <c r="G198" s="14" t="n"/>
      <c r="H198" s="14" t="n"/>
      <c r="I198" s="14" t="n"/>
      <c r="J198" s="14" t="n"/>
    </row>
    <row r="199">
      <c r="A199" s="14" t="n"/>
      <c r="B199" s="14" t="n"/>
      <c r="C199" s="14" t="n"/>
      <c r="D199" s="14" t="n"/>
      <c r="E199" s="14" t="n"/>
      <c r="F199" s="14" t="n"/>
      <c r="G199" s="14" t="n"/>
      <c r="H199" s="14" t="n"/>
      <c r="I199" s="14" t="n"/>
      <c r="J199" s="14" t="n"/>
    </row>
    <row r="200">
      <c r="A200" s="14" t="n"/>
      <c r="B200" s="14" t="n"/>
      <c r="C200" s="14" t="n"/>
      <c r="D200" s="14" t="n"/>
      <c r="E200" s="14" t="n"/>
      <c r="F200" s="14" t="n"/>
      <c r="G200" s="14" t="n"/>
      <c r="H200" s="14" t="n"/>
      <c r="I200" s="14" t="n"/>
      <c r="J200" s="14" t="n"/>
    </row>
    <row r="201">
      <c r="A201" s="14" t="n"/>
      <c r="B201" s="14" t="n"/>
      <c r="C201" s="14" t="n"/>
      <c r="D201" s="14" t="n"/>
      <c r="E201" s="14" t="n"/>
      <c r="F201" s="14" t="n"/>
      <c r="G201" s="14" t="n"/>
      <c r="H201" s="14" t="n"/>
      <c r="I201" s="14" t="n"/>
      <c r="J201" s="14" t="n"/>
    </row>
    <row r="202">
      <c r="A202" s="14" t="n"/>
      <c r="B202" s="14" t="n"/>
      <c r="C202" s="14" t="n"/>
      <c r="D202" s="14" t="n"/>
      <c r="E202" s="14" t="n"/>
      <c r="F202" s="14" t="n"/>
      <c r="G202" s="14" t="n"/>
      <c r="H202" s="14" t="n"/>
      <c r="I202" s="14" t="n"/>
      <c r="J202" s="14" t="n"/>
    </row>
    <row r="203">
      <c r="A203" s="14" t="n"/>
      <c r="B203" s="14" t="n"/>
      <c r="C203" s="14" t="n"/>
      <c r="D203" s="14" t="n"/>
      <c r="E203" s="14" t="n"/>
      <c r="F203" s="14" t="n"/>
      <c r="G203" s="14" t="n"/>
      <c r="H203" s="14" t="n"/>
      <c r="I203" s="14" t="n"/>
      <c r="J203" s="14" t="n"/>
    </row>
    <row r="204">
      <c r="A204" s="14" t="n"/>
      <c r="B204" s="14" t="n"/>
      <c r="C204" s="14" t="n"/>
      <c r="D204" s="14" t="n"/>
      <c r="E204" s="14" t="n"/>
      <c r="F204" s="14" t="n"/>
      <c r="G204" s="14" t="n"/>
      <c r="H204" s="14" t="n"/>
      <c r="I204" s="14" t="n"/>
      <c r="J204" s="14" t="n"/>
    </row>
    <row r="205">
      <c r="A205" s="14" t="n"/>
      <c r="B205" s="14" t="n"/>
      <c r="C205" s="14" t="n"/>
      <c r="D205" s="14" t="n"/>
      <c r="E205" s="14" t="n"/>
      <c r="F205" s="14" t="n"/>
      <c r="G205" s="14" t="n"/>
      <c r="H205" s="14" t="n"/>
      <c r="I205" s="14" t="n"/>
      <c r="J205" s="14" t="n"/>
    </row>
    <row r="206">
      <c r="A206" s="14" t="n"/>
      <c r="B206" s="14" t="n"/>
      <c r="C206" s="14" t="n"/>
      <c r="D206" s="14" t="n"/>
      <c r="E206" s="14" t="n"/>
      <c r="F206" s="14" t="n"/>
      <c r="G206" s="14" t="n"/>
      <c r="H206" s="14" t="n"/>
      <c r="I206" s="14" t="n"/>
      <c r="J206" s="14" t="n"/>
    </row>
    <row r="207">
      <c r="A207" s="14" t="n"/>
      <c r="B207" s="14" t="n"/>
      <c r="C207" s="14" t="n"/>
      <c r="D207" s="14" t="n"/>
      <c r="E207" s="14" t="n"/>
      <c r="F207" s="14" t="n"/>
      <c r="G207" s="14" t="n"/>
      <c r="H207" s="14" t="n"/>
      <c r="I207" s="14" t="n"/>
      <c r="J207" s="14" t="n"/>
    </row>
    <row r="208">
      <c r="A208" s="14" t="n"/>
      <c r="B208" s="14" t="n"/>
      <c r="C208" s="14" t="n"/>
      <c r="D208" s="14" t="n"/>
      <c r="E208" s="14" t="n"/>
      <c r="F208" s="14" t="n"/>
      <c r="G208" s="14" t="n"/>
      <c r="H208" s="14" t="n"/>
      <c r="I208" s="14" t="n"/>
      <c r="J208" s="14" t="n"/>
    </row>
    <row r="209">
      <c r="A209" s="14" t="n"/>
      <c r="B209" s="14" t="n"/>
      <c r="C209" s="14" t="n"/>
      <c r="D209" s="14" t="n"/>
      <c r="E209" s="14" t="n"/>
      <c r="F209" s="14" t="n"/>
      <c r="G209" s="14" t="n"/>
      <c r="H209" s="14" t="n"/>
      <c r="I209" s="14" t="n"/>
      <c r="J209" s="14" t="n"/>
    </row>
    <row r="210">
      <c r="A210" s="14" t="n"/>
      <c r="B210" s="14" t="n"/>
      <c r="C210" s="14" t="n"/>
      <c r="D210" s="14" t="n"/>
      <c r="E210" s="14" t="n"/>
      <c r="F210" s="14" t="n"/>
      <c r="G210" s="14" t="n"/>
      <c r="H210" s="14" t="n"/>
      <c r="I210" s="14" t="n"/>
      <c r="J210" s="14" t="n"/>
    </row>
    <row r="211">
      <c r="A211" s="14" t="n"/>
      <c r="B211" s="14" t="n"/>
      <c r="C211" s="14" t="n"/>
      <c r="D211" s="14" t="n"/>
      <c r="E211" s="14" t="n"/>
      <c r="F211" s="14" t="n"/>
      <c r="G211" s="14" t="n"/>
      <c r="H211" s="14" t="n"/>
      <c r="I211" s="14" t="n"/>
      <c r="J211" s="14" t="n"/>
    </row>
    <row r="212">
      <c r="A212" s="14" t="n"/>
      <c r="B212" s="14" t="n"/>
      <c r="C212" s="14" t="n"/>
      <c r="D212" s="14" t="n"/>
      <c r="E212" s="14" t="n"/>
      <c r="F212" s="14" t="n"/>
      <c r="G212" s="14" t="n"/>
      <c r="H212" s="14" t="n"/>
      <c r="I212" s="14" t="n"/>
      <c r="J212" s="14" t="n"/>
    </row>
    <row r="213">
      <c r="A213" s="14" t="n"/>
      <c r="B213" s="14" t="n"/>
      <c r="C213" s="14" t="n"/>
      <c r="D213" s="14" t="n"/>
      <c r="E213" s="14" t="n"/>
      <c r="F213" s="14" t="n"/>
      <c r="G213" s="14" t="n"/>
      <c r="H213" s="14" t="n"/>
      <c r="I213" s="14" t="n"/>
      <c r="J213" s="14" t="n"/>
    </row>
    <row r="214">
      <c r="A214" s="14" t="n"/>
      <c r="B214" s="14" t="n"/>
      <c r="C214" s="14" t="n"/>
      <c r="D214" s="14" t="n"/>
      <c r="E214" s="14" t="n"/>
      <c r="F214" s="14" t="n"/>
      <c r="G214" s="14" t="n"/>
      <c r="H214" s="14" t="n"/>
      <c r="I214" s="14" t="n"/>
      <c r="J214" s="14" t="n"/>
    </row>
    <row r="215">
      <c r="A215" s="14" t="n"/>
      <c r="B215" s="14" t="n"/>
      <c r="C215" s="14" t="n"/>
      <c r="D215" s="14" t="n"/>
      <c r="E215" s="14" t="n"/>
      <c r="F215" s="14" t="n"/>
      <c r="G215" s="14" t="n"/>
      <c r="H215" s="14" t="n"/>
      <c r="I215" s="14" t="n"/>
      <c r="J215" s="14" t="n"/>
    </row>
    <row r="216">
      <c r="A216" s="14" t="n"/>
      <c r="B216" s="14" t="n"/>
      <c r="C216" s="14" t="n"/>
      <c r="D216" s="14" t="n"/>
      <c r="E216" s="14" t="n"/>
      <c r="F216" s="14" t="n"/>
      <c r="G216" s="14" t="n"/>
      <c r="H216" s="14" t="n"/>
      <c r="I216" s="14" t="n"/>
      <c r="J216" s="14" t="n"/>
    </row>
    <row r="217">
      <c r="A217" s="14" t="n"/>
      <c r="B217" s="14" t="n"/>
      <c r="C217" s="14" t="n"/>
      <c r="D217" s="14" t="n"/>
      <c r="E217" s="14" t="n"/>
      <c r="F217" s="14" t="n"/>
      <c r="G217" s="14" t="n"/>
      <c r="H217" s="14" t="n"/>
      <c r="I217" s="14" t="n"/>
      <c r="J217" s="14" t="n"/>
    </row>
    <row r="218">
      <c r="A218" s="14" t="n"/>
      <c r="B218" s="14" t="n"/>
      <c r="C218" s="14" t="n"/>
      <c r="D218" s="14" t="n"/>
      <c r="E218" s="14" t="n"/>
      <c r="F218" s="14" t="n"/>
      <c r="G218" s="14" t="n"/>
      <c r="H218" s="14" t="n"/>
      <c r="I218" s="14" t="n"/>
      <c r="J218" s="14" t="n"/>
    </row>
    <row r="219">
      <c r="A219" s="14" t="n"/>
      <c r="B219" s="14" t="n"/>
      <c r="C219" s="14" t="n"/>
      <c r="D219" s="14" t="n"/>
      <c r="E219" s="14" t="n"/>
      <c r="F219" s="14" t="n"/>
      <c r="G219" s="14" t="n"/>
      <c r="H219" s="14" t="n"/>
      <c r="I219" s="14" t="n"/>
      <c r="J219" s="14" t="n"/>
    </row>
    <row r="220">
      <c r="A220" s="14" t="n"/>
      <c r="B220" s="14" t="n"/>
      <c r="C220" s="14" t="n"/>
      <c r="D220" s="14" t="n"/>
      <c r="E220" s="14" t="n"/>
      <c r="F220" s="14" t="n"/>
      <c r="G220" s="14" t="n"/>
      <c r="H220" s="14" t="n"/>
      <c r="I220" s="14" t="n"/>
      <c r="J220" s="14" t="n"/>
    </row>
    <row r="221">
      <c r="A221" s="14" t="n"/>
      <c r="B221" s="14" t="n"/>
      <c r="C221" s="14" t="n"/>
      <c r="D221" s="14" t="n"/>
      <c r="E221" s="14" t="n"/>
      <c r="F221" s="14" t="n"/>
      <c r="G221" s="14" t="n"/>
      <c r="H221" s="14" t="n"/>
      <c r="I221" s="14" t="n"/>
      <c r="J221" s="14" t="n"/>
    </row>
    <row r="222">
      <c r="A222" s="14" t="n"/>
      <c r="B222" s="14" t="n"/>
      <c r="C222" s="14" t="n"/>
      <c r="D222" s="14" t="n"/>
      <c r="E222" s="14" t="n"/>
      <c r="F222" s="14" t="n"/>
      <c r="G222" s="14" t="n"/>
      <c r="H222" s="14" t="n"/>
      <c r="I222" s="14" t="n"/>
      <c r="J222" s="14" t="n"/>
    </row>
    <row r="223">
      <c r="A223" s="14" t="n"/>
      <c r="B223" s="14" t="n"/>
      <c r="C223" s="14" t="n"/>
      <c r="D223" s="14" t="n"/>
      <c r="E223" s="14" t="n"/>
      <c r="F223" s="14" t="n"/>
      <c r="G223" s="14" t="n"/>
      <c r="H223" s="14" t="n"/>
      <c r="I223" s="14" t="n"/>
      <c r="J223" s="14" t="n"/>
    </row>
    <row r="224">
      <c r="A224" s="14" t="n"/>
      <c r="B224" s="14" t="n"/>
      <c r="C224" s="14" t="n"/>
      <c r="D224" s="14" t="n"/>
      <c r="E224" s="14" t="n"/>
      <c r="F224" s="14" t="n"/>
      <c r="G224" s="14" t="n"/>
      <c r="H224" s="14" t="n"/>
      <c r="I224" s="14" t="n"/>
      <c r="J224" s="14" t="n"/>
    </row>
    <row r="225">
      <c r="A225" s="14" t="n"/>
      <c r="B225" s="14" t="n"/>
      <c r="C225" s="14" t="n"/>
      <c r="D225" s="14" t="n"/>
      <c r="E225" s="14" t="n"/>
      <c r="F225" s="14" t="n"/>
      <c r="G225" s="14" t="n"/>
      <c r="H225" s="14" t="n"/>
      <c r="I225" s="14" t="n"/>
      <c r="J225" s="14" t="n"/>
    </row>
    <row r="226">
      <c r="A226" s="14" t="n"/>
      <c r="B226" s="14" t="n"/>
      <c r="C226" s="14" t="n"/>
      <c r="D226" s="14" t="n"/>
      <c r="E226" s="14" t="n"/>
      <c r="F226" s="14" t="n"/>
      <c r="G226" s="14" t="n"/>
      <c r="H226" s="14" t="n"/>
      <c r="I226" s="14" t="n"/>
      <c r="J226" s="14" t="n"/>
    </row>
    <row r="227">
      <c r="A227" s="14" t="n"/>
      <c r="B227" s="14" t="n"/>
      <c r="C227" s="14" t="n"/>
      <c r="D227" s="14" t="n"/>
      <c r="E227" s="14" t="n"/>
      <c r="F227" s="14" t="n"/>
      <c r="G227" s="14" t="n"/>
      <c r="H227" s="14" t="n"/>
      <c r="I227" s="14" t="n"/>
      <c r="J227" s="14" t="n"/>
    </row>
    <row r="228">
      <c r="A228" s="14" t="n"/>
      <c r="B228" s="14" t="n"/>
      <c r="C228" s="14" t="n"/>
      <c r="D228" s="14" t="n"/>
      <c r="E228" s="14" t="n"/>
      <c r="F228" s="14" t="n"/>
      <c r="G228" s="14" t="n"/>
      <c r="H228" s="14" t="n"/>
      <c r="I228" s="14" t="n"/>
      <c r="J228" s="14" t="n"/>
    </row>
    <row r="229">
      <c r="A229" s="14" t="n"/>
      <c r="B229" s="14" t="n"/>
      <c r="C229" s="14" t="n"/>
      <c r="D229" s="14" t="n"/>
      <c r="E229" s="14" t="n"/>
      <c r="F229" s="14" t="n"/>
      <c r="G229" s="14" t="n"/>
      <c r="H229" s="14" t="n"/>
      <c r="I229" s="14" t="n"/>
      <c r="J229" s="14" t="n"/>
    </row>
    <row r="230">
      <c r="A230" s="14" t="n"/>
      <c r="B230" s="14" t="n"/>
      <c r="C230" s="14" t="n"/>
      <c r="D230" s="14" t="n"/>
      <c r="E230" s="14" t="n"/>
      <c r="F230" s="14" t="n"/>
      <c r="G230" s="14" t="n"/>
      <c r="H230" s="14" t="n"/>
      <c r="I230" s="14" t="n"/>
      <c r="J230" s="14" t="n"/>
    </row>
    <row r="231">
      <c r="A231" s="14" t="n"/>
      <c r="B231" s="14" t="n"/>
      <c r="C231" s="14" t="n"/>
      <c r="D231" s="14" t="n"/>
      <c r="E231" s="14" t="n"/>
      <c r="F231" s="14" t="n"/>
      <c r="G231" s="14" t="n"/>
      <c r="H231" s="14" t="n"/>
      <c r="I231" s="14" t="n"/>
      <c r="J231" s="14" t="n"/>
    </row>
    <row r="232">
      <c r="A232" s="14" t="n"/>
      <c r="B232" s="14" t="n"/>
      <c r="C232" s="14" t="n"/>
      <c r="D232" s="14" t="n"/>
      <c r="E232" s="14" t="n"/>
      <c r="F232" s="14" t="n"/>
      <c r="G232" s="14" t="n"/>
      <c r="H232" s="14" t="n"/>
      <c r="I232" s="14" t="n"/>
      <c r="J232" s="14" t="n"/>
    </row>
    <row r="233">
      <c r="A233" s="14" t="n"/>
      <c r="B233" s="14" t="n"/>
      <c r="C233" s="14" t="n"/>
      <c r="D233" s="14" t="n"/>
      <c r="E233" s="14" t="n"/>
      <c r="F233" s="14" t="n"/>
      <c r="G233" s="14" t="n"/>
      <c r="H233" s="14" t="n"/>
      <c r="I233" s="14" t="n"/>
      <c r="J233" s="14" t="n"/>
    </row>
    <row r="234">
      <c r="A234" s="14" t="n"/>
      <c r="B234" s="14" t="n"/>
      <c r="C234" s="14" t="n"/>
      <c r="D234" s="14" t="n"/>
      <c r="E234" s="14" t="n"/>
      <c r="F234" s="14" t="n"/>
      <c r="G234" s="14" t="n"/>
      <c r="H234" s="14" t="n"/>
      <c r="I234" s="14" t="n"/>
      <c r="J234" s="14" t="n"/>
    </row>
    <row r="235">
      <c r="A235" s="14" t="n"/>
      <c r="B235" s="14" t="n"/>
      <c r="C235" s="14" t="n"/>
      <c r="D235" s="14" t="n"/>
      <c r="E235" s="14" t="n"/>
      <c r="F235" s="14" t="n"/>
      <c r="G235" s="14" t="n"/>
      <c r="H235" s="14" t="n"/>
      <c r="I235" s="14" t="n"/>
      <c r="J235" s="14" t="n"/>
    </row>
    <row r="236">
      <c r="A236" s="14" t="n"/>
      <c r="B236" s="14" t="n"/>
      <c r="C236" s="14" t="n"/>
      <c r="D236" s="14" t="n"/>
      <c r="E236" s="14" t="n"/>
      <c r="F236" s="14" t="n"/>
      <c r="G236" s="14" t="n"/>
      <c r="H236" s="14" t="n"/>
      <c r="I236" s="14" t="n"/>
      <c r="J236" s="14" t="n"/>
    </row>
    <row r="237">
      <c r="A237" s="14" t="n"/>
      <c r="B237" s="14" t="n"/>
      <c r="C237" s="14" t="n"/>
      <c r="D237" s="14" t="n"/>
      <c r="E237" s="14" t="n"/>
      <c r="F237" s="14" t="n"/>
      <c r="G237" s="14" t="n"/>
      <c r="H237" s="14" t="n"/>
      <c r="I237" s="14" t="n"/>
      <c r="J237" s="14" t="n"/>
    </row>
    <row r="238">
      <c r="A238" s="14" t="n"/>
      <c r="B238" s="14" t="n"/>
      <c r="C238" s="14" t="n"/>
      <c r="D238" s="14" t="n"/>
      <c r="E238" s="14" t="n"/>
      <c r="F238" s="14" t="n"/>
      <c r="G238" s="14" t="n"/>
      <c r="H238" s="14" t="n"/>
      <c r="I238" s="14" t="n"/>
      <c r="J238" s="14" t="n"/>
    </row>
    <row r="239">
      <c r="A239" s="14" t="n"/>
      <c r="B239" s="14" t="n"/>
      <c r="C239" s="14" t="n"/>
      <c r="D239" s="14" t="n"/>
      <c r="E239" s="14" t="n"/>
      <c r="F239" s="14" t="n"/>
      <c r="G239" s="14" t="n"/>
      <c r="H239" s="14" t="n"/>
      <c r="I239" s="14" t="n"/>
      <c r="J239" s="14" t="n"/>
    </row>
    <row r="240">
      <c r="A240" s="14" t="n"/>
      <c r="B240" s="14" t="n"/>
      <c r="C240" s="14" t="n"/>
      <c r="D240" s="14" t="n"/>
      <c r="E240" s="14" t="n"/>
      <c r="F240" s="14" t="n"/>
      <c r="G240" s="14" t="n"/>
      <c r="H240" s="14" t="n"/>
      <c r="I240" s="14" t="n"/>
      <c r="J240" s="14" t="n"/>
    </row>
    <row r="241">
      <c r="A241" s="14" t="n"/>
      <c r="B241" s="14" t="n"/>
      <c r="C241" s="14" t="n"/>
      <c r="D241" s="14" t="n"/>
      <c r="E241" s="14" t="n"/>
      <c r="F241" s="14" t="n"/>
      <c r="G241" s="14" t="n"/>
      <c r="H241" s="14" t="n"/>
      <c r="I241" s="14" t="n"/>
      <c r="J241" s="14" t="n"/>
    </row>
    <row r="242">
      <c r="A242" s="14" t="n"/>
      <c r="B242" s="14" t="n"/>
      <c r="C242" s="14" t="n"/>
      <c r="D242" s="14" t="n"/>
      <c r="E242" s="14" t="n"/>
      <c r="F242" s="14" t="n"/>
      <c r="G242" s="14" t="n"/>
      <c r="H242" s="14" t="n"/>
      <c r="I242" s="14" t="n"/>
      <c r="J242" s="14" t="n"/>
    </row>
    <row r="243">
      <c r="A243" s="14" t="n"/>
      <c r="B243" s="14" t="n"/>
      <c r="C243" s="14" t="n"/>
      <c r="D243" s="14" t="n"/>
      <c r="E243" s="14" t="n"/>
      <c r="F243" s="14" t="n"/>
      <c r="G243" s="14" t="n"/>
      <c r="H243" s="14" t="n"/>
      <c r="I243" s="14" t="n"/>
      <c r="J243" s="14" t="n"/>
    </row>
    <row r="244">
      <c r="A244" s="14" t="n"/>
      <c r="B244" s="14" t="n"/>
      <c r="C244" s="14" t="n"/>
      <c r="D244" s="14" t="n"/>
      <c r="E244" s="14" t="n"/>
      <c r="F244" s="14" t="n"/>
      <c r="G244" s="14" t="n"/>
      <c r="H244" s="14" t="n"/>
      <c r="I244" s="14" t="n"/>
      <c r="J244" s="14" t="n"/>
    </row>
    <row r="245">
      <c r="A245" s="14" t="n"/>
      <c r="B245" s="14" t="n"/>
      <c r="C245" s="14" t="n"/>
      <c r="D245" s="14" t="n"/>
      <c r="E245" s="14" t="n"/>
      <c r="F245" s="14" t="n"/>
      <c r="G245" s="14" t="n"/>
      <c r="H245" s="14" t="n"/>
      <c r="I245" s="14" t="n"/>
      <c r="J245" s="14" t="n"/>
    </row>
    <row r="246">
      <c r="A246" s="14" t="n"/>
      <c r="B246" s="14" t="n"/>
      <c r="C246" s="14" t="n"/>
      <c r="D246" s="14" t="n"/>
      <c r="E246" s="14" t="n"/>
      <c r="F246" s="14" t="n"/>
      <c r="G246" s="14" t="n"/>
      <c r="H246" s="14" t="n"/>
      <c r="I246" s="14" t="n"/>
      <c r="J246" s="14" t="n"/>
    </row>
    <row r="247">
      <c r="A247" s="14" t="n"/>
      <c r="B247" s="14" t="n"/>
      <c r="C247" s="14" t="n"/>
      <c r="D247" s="14" t="n"/>
      <c r="E247" s="14" t="n"/>
      <c r="F247" s="14" t="n"/>
      <c r="G247" s="14" t="n"/>
      <c r="H247" s="14" t="n"/>
      <c r="I247" s="14" t="n"/>
      <c r="J247" s="14" t="n"/>
    </row>
    <row r="248">
      <c r="A248" s="14" t="n"/>
      <c r="B248" s="14" t="n"/>
      <c r="C248" s="14" t="n"/>
      <c r="D248" s="14" t="n"/>
      <c r="E248" s="14" t="n"/>
      <c r="F248" s="14" t="n"/>
      <c r="G248" s="14" t="n"/>
      <c r="H248" s="14" t="n"/>
      <c r="I248" s="14" t="n"/>
      <c r="J248" s="14" t="n"/>
    </row>
    <row r="249">
      <c r="A249" s="14" t="n"/>
      <c r="B249" s="14" t="n"/>
      <c r="C249" s="14" t="n"/>
      <c r="D249" s="14" t="n"/>
      <c r="E249" s="14" t="n"/>
      <c r="F249" s="14" t="n"/>
      <c r="G249" s="14" t="n"/>
      <c r="H249" s="14" t="n"/>
      <c r="I249" s="14" t="n"/>
      <c r="J249" s="14" t="n"/>
    </row>
    <row r="250">
      <c r="A250" s="14" t="n"/>
      <c r="B250" s="14" t="n"/>
      <c r="C250" s="14" t="n"/>
      <c r="D250" s="14" t="n"/>
      <c r="E250" s="14" t="n"/>
      <c r="F250" s="14" t="n"/>
      <c r="G250" s="14" t="n"/>
      <c r="H250" s="14" t="n"/>
      <c r="I250" s="14" t="n"/>
      <c r="J250" s="14" t="n"/>
    </row>
    <row r="251">
      <c r="A251" s="14" t="n"/>
      <c r="B251" s="14" t="n"/>
      <c r="C251" s="14" t="n"/>
      <c r="D251" s="14" t="n"/>
      <c r="E251" s="14" t="n"/>
      <c r="F251" s="14" t="n"/>
      <c r="G251" s="14" t="n"/>
      <c r="H251" s="14" t="n"/>
      <c r="I251" s="14" t="n"/>
      <c r="J251" s="14" t="n"/>
    </row>
    <row r="252">
      <c r="A252" s="14" t="n"/>
      <c r="B252" s="14" t="n"/>
      <c r="C252" s="14" t="n"/>
      <c r="D252" s="14" t="n"/>
      <c r="E252" s="14" t="n"/>
      <c r="F252" s="14" t="n"/>
      <c r="G252" s="14" t="n"/>
      <c r="H252" s="14" t="n"/>
      <c r="I252" s="14" t="n"/>
      <c r="J252" s="14" t="n"/>
    </row>
    <row r="253">
      <c r="A253" s="14" t="n"/>
      <c r="B253" s="14" t="n"/>
      <c r="C253" s="14" t="n"/>
      <c r="D253" s="14" t="n"/>
      <c r="E253" s="14" t="n"/>
      <c r="F253" s="14" t="n"/>
      <c r="G253" s="14" t="n"/>
      <c r="H253" s="14" t="n"/>
      <c r="I253" s="14" t="n"/>
      <c r="J253" s="14" t="n"/>
    </row>
    <row r="254">
      <c r="A254" s="14" t="n"/>
      <c r="B254" s="14" t="n"/>
      <c r="C254" s="14" t="n"/>
      <c r="D254" s="14" t="n"/>
      <c r="E254" s="14" t="n"/>
      <c r="F254" s="14" t="n"/>
      <c r="G254" s="14" t="n"/>
      <c r="H254" s="14" t="n"/>
      <c r="I254" s="14" t="n"/>
      <c r="J254" s="14" t="n"/>
    </row>
    <row r="255">
      <c r="A255" s="14" t="n"/>
      <c r="B255" s="14" t="n"/>
      <c r="C255" s="14" t="n"/>
      <c r="D255" s="14" t="n"/>
      <c r="E255" s="14" t="n"/>
      <c r="F255" s="14" t="n"/>
      <c r="G255" s="14" t="n"/>
      <c r="H255" s="14" t="n"/>
      <c r="I255" s="14" t="n"/>
      <c r="J255" s="14" t="n"/>
    </row>
    <row r="256">
      <c r="A256" s="14" t="n"/>
      <c r="B256" s="14" t="n"/>
      <c r="C256" s="14" t="n"/>
      <c r="D256" s="14" t="n"/>
      <c r="E256" s="14" t="n"/>
      <c r="F256" s="14" t="n"/>
      <c r="G256" s="14" t="n"/>
      <c r="H256" s="14" t="n"/>
      <c r="I256" s="14" t="n"/>
      <c r="J256" s="14" t="n"/>
    </row>
    <row r="257">
      <c r="A257" s="14" t="n"/>
      <c r="B257" s="14" t="n"/>
      <c r="C257" s="14" t="n"/>
      <c r="D257" s="14" t="n"/>
      <c r="E257" s="14" t="n"/>
      <c r="F257" s="14" t="n"/>
      <c r="G257" s="14" t="n"/>
      <c r="H257" s="14" t="n"/>
      <c r="I257" s="14" t="n"/>
      <c r="J257" s="14" t="n"/>
    </row>
    <row r="258">
      <c r="A258" s="14" t="n"/>
      <c r="B258" s="14" t="n"/>
      <c r="C258" s="14" t="n"/>
      <c r="D258" s="14" t="n"/>
      <c r="E258" s="14" t="n"/>
      <c r="F258" s="14" t="n"/>
      <c r="G258" s="14" t="n"/>
      <c r="H258" s="14" t="n"/>
      <c r="I258" s="14" t="n"/>
      <c r="J258" s="14" t="n"/>
    </row>
    <row r="259">
      <c r="A259" s="14" t="n"/>
      <c r="B259" s="14" t="n"/>
      <c r="C259" s="14" t="n"/>
      <c r="D259" s="14" t="n"/>
      <c r="E259" s="14" t="n"/>
      <c r="F259" s="14" t="n"/>
      <c r="G259" s="14" t="n"/>
      <c r="H259" s="14" t="n"/>
      <c r="I259" s="14" t="n"/>
      <c r="J259" s="14" t="n"/>
    </row>
    <row r="260">
      <c r="A260" s="14" t="n"/>
      <c r="B260" s="14" t="n"/>
      <c r="C260" s="14" t="n"/>
      <c r="D260" s="14" t="n"/>
      <c r="E260" s="14" t="n"/>
      <c r="F260" s="14" t="n"/>
      <c r="G260" s="14" t="n"/>
      <c r="H260" s="14" t="n"/>
      <c r="I260" s="14" t="n"/>
      <c r="J260" s="14" t="n"/>
    </row>
    <row r="261">
      <c r="A261" s="14" t="n"/>
      <c r="B261" s="14" t="n"/>
      <c r="C261" s="14" t="n"/>
      <c r="D261" s="14" t="n"/>
      <c r="E261" s="14" t="n"/>
      <c r="F261" s="14" t="n"/>
      <c r="G261" s="14" t="n"/>
      <c r="H261" s="14" t="n"/>
      <c r="I261" s="14" t="n"/>
      <c r="J261" s="14" t="n"/>
    </row>
    <row r="262">
      <c r="A262" s="14" t="n"/>
      <c r="B262" s="14" t="n"/>
      <c r="C262" s="14" t="n"/>
      <c r="D262" s="14" t="n"/>
      <c r="E262" s="14" t="n"/>
      <c r="F262" s="14" t="n"/>
      <c r="G262" s="14" t="n"/>
      <c r="H262" s="14" t="n"/>
      <c r="I262" s="14" t="n"/>
      <c r="J262" s="14" t="n"/>
    </row>
    <row r="263">
      <c r="A263" s="14" t="n"/>
      <c r="B263" s="14" t="n"/>
      <c r="C263" s="14" t="n"/>
      <c r="D263" s="14" t="n"/>
      <c r="E263" s="14" t="n"/>
      <c r="F263" s="14" t="n"/>
      <c r="G263" s="14" t="n"/>
      <c r="H263" s="14" t="n"/>
      <c r="I263" s="14" t="n"/>
      <c r="J263" s="14" t="n"/>
    </row>
    <row r="264">
      <c r="A264" s="14" t="n"/>
      <c r="B264" s="14" t="n"/>
      <c r="C264" s="14" t="n"/>
      <c r="D264" s="14" t="n"/>
      <c r="E264" s="14" t="n"/>
      <c r="F264" s="14" t="n"/>
      <c r="G264" s="14" t="n"/>
      <c r="H264" s="14" t="n"/>
      <c r="I264" s="14" t="n"/>
      <c r="J264" s="14" t="n"/>
    </row>
    <row r="265">
      <c r="A265" s="14" t="n"/>
      <c r="B265" s="14" t="n"/>
      <c r="C265" s="14" t="n"/>
      <c r="D265" s="14" t="n"/>
      <c r="E265" s="14" t="n"/>
      <c r="F265" s="14" t="n"/>
      <c r="G265" s="14" t="n"/>
      <c r="H265" s="14" t="n"/>
      <c r="I265" s="14" t="n"/>
      <c r="J265" s="14" t="n"/>
    </row>
    <row r="266">
      <c r="A266" s="14" t="n"/>
      <c r="B266" s="14" t="n"/>
      <c r="C266" s="14" t="n"/>
      <c r="D266" s="14" t="n"/>
      <c r="E266" s="14" t="n"/>
      <c r="F266" s="14" t="n"/>
      <c r="G266" s="14" t="n"/>
      <c r="H266" s="14" t="n"/>
      <c r="I266" s="14" t="n"/>
      <c r="J266" s="14" t="n"/>
    </row>
    <row r="267">
      <c r="A267" s="14" t="n"/>
      <c r="B267" s="14" t="n"/>
      <c r="C267" s="14" t="n"/>
      <c r="D267" s="14" t="n"/>
      <c r="E267" s="14" t="n"/>
      <c r="F267" s="14" t="n"/>
      <c r="G267" s="14" t="n"/>
      <c r="H267" s="14" t="n"/>
      <c r="I267" s="14" t="n"/>
      <c r="J267" s="14" t="n"/>
    </row>
    <row r="268">
      <c r="A268" s="14" t="n"/>
      <c r="B268" s="14" t="n"/>
      <c r="C268" s="14" t="n"/>
      <c r="D268" s="14" t="n"/>
      <c r="E268" s="14" t="n"/>
      <c r="F268" s="14" t="n"/>
      <c r="G268" s="14" t="n"/>
      <c r="H268" s="14" t="n"/>
      <c r="I268" s="14" t="n"/>
      <c r="J268" s="14" t="n"/>
    </row>
    <row r="269">
      <c r="A269" s="14" t="n"/>
      <c r="B269" s="14" t="n"/>
      <c r="C269" s="14" t="n"/>
      <c r="D269" s="14" t="n"/>
      <c r="E269" s="14" t="n"/>
      <c r="F269" s="14" t="n"/>
      <c r="G269" s="14" t="n"/>
      <c r="H269" s="14" t="n"/>
      <c r="I269" s="14" t="n"/>
      <c r="J269" s="14" t="n"/>
    </row>
    <row r="270">
      <c r="A270" s="14" t="n"/>
      <c r="B270" s="14" t="n"/>
      <c r="C270" s="14" t="n"/>
      <c r="D270" s="14" t="n"/>
      <c r="E270" s="14" t="n"/>
      <c r="F270" s="14" t="n"/>
      <c r="G270" s="14" t="n"/>
      <c r="H270" s="14" t="n"/>
      <c r="I270" s="14" t="n"/>
      <c r="J270" s="14" t="n"/>
    </row>
    <row r="271">
      <c r="A271" s="14" t="n"/>
      <c r="B271" s="14" t="n"/>
      <c r="C271" s="14" t="n"/>
      <c r="D271" s="14" t="n"/>
      <c r="E271" s="14" t="n"/>
      <c r="F271" s="14" t="n"/>
      <c r="G271" s="14" t="n"/>
      <c r="H271" s="14" t="n"/>
      <c r="I271" s="14" t="n"/>
      <c r="J271" s="14" t="n"/>
    </row>
    <row r="272">
      <c r="A272" s="14" t="n"/>
      <c r="B272" s="14" t="n"/>
      <c r="C272" s="14" t="n"/>
      <c r="D272" s="14" t="n"/>
      <c r="E272" s="14" t="n"/>
      <c r="F272" s="14" t="n"/>
      <c r="G272" s="14" t="n"/>
      <c r="H272" s="14" t="n"/>
      <c r="I272" s="14" t="n"/>
      <c r="J272" s="14" t="n"/>
    </row>
    <row r="273">
      <c r="A273" s="14" t="n"/>
      <c r="B273" s="14" t="n"/>
      <c r="C273" s="14" t="n"/>
      <c r="D273" s="14" t="n"/>
      <c r="E273" s="14" t="n"/>
      <c r="F273" s="14" t="n"/>
      <c r="G273" s="14" t="n"/>
      <c r="H273" s="14" t="n"/>
      <c r="I273" s="14" t="n"/>
      <c r="J273" s="14" t="n"/>
    </row>
    <row r="274">
      <c r="A274" s="14" t="n"/>
      <c r="B274" s="14" t="n"/>
      <c r="C274" s="14" t="n"/>
      <c r="D274" s="14" t="n"/>
      <c r="E274" s="14" t="n"/>
      <c r="F274" s="14" t="n"/>
      <c r="G274" s="14" t="n"/>
      <c r="H274" s="14" t="n"/>
      <c r="I274" s="14" t="n"/>
      <c r="J274" s="14" t="n"/>
    </row>
    <row r="275">
      <c r="A275" s="14" t="n"/>
      <c r="B275" s="14" t="n"/>
      <c r="C275" s="14" t="n"/>
      <c r="D275" s="14" t="n"/>
      <c r="E275" s="14" t="n"/>
      <c r="F275" s="14" t="n"/>
      <c r="G275" s="14" t="n"/>
      <c r="H275" s="14" t="n"/>
      <c r="I275" s="14" t="n"/>
      <c r="J275" s="14" t="n"/>
    </row>
    <row r="276">
      <c r="A276" s="14" t="n"/>
      <c r="B276" s="14" t="n"/>
      <c r="C276" s="14" t="n"/>
      <c r="D276" s="14" t="n"/>
      <c r="E276" s="14" t="n"/>
      <c r="F276" s="14" t="n"/>
      <c r="G276" s="14" t="n"/>
      <c r="H276" s="14" t="n"/>
      <c r="I276" s="14" t="n"/>
      <c r="J276" s="14" t="n"/>
    </row>
    <row r="277">
      <c r="A277" s="14" t="n"/>
      <c r="B277" s="14" t="n"/>
      <c r="C277" s="14" t="n"/>
      <c r="D277" s="14" t="n"/>
      <c r="E277" s="14" t="n"/>
      <c r="F277" s="14" t="n"/>
      <c r="G277" s="14" t="n"/>
      <c r="H277" s="14" t="n"/>
      <c r="I277" s="14" t="n"/>
      <c r="J277" s="14" t="n"/>
    </row>
    <row r="278">
      <c r="A278" s="14" t="n"/>
      <c r="B278" s="14" t="n"/>
      <c r="C278" s="14" t="n"/>
      <c r="D278" s="14" t="n"/>
      <c r="E278" s="14" t="n"/>
      <c r="F278" s="14" t="n"/>
      <c r="G278" s="14" t="n"/>
      <c r="H278" s="14" t="n"/>
      <c r="I278" s="14" t="n"/>
      <c r="J278" s="14" t="n"/>
    </row>
    <row r="279">
      <c r="A279" s="14" t="n"/>
      <c r="B279" s="14" t="n"/>
      <c r="C279" s="14" t="n"/>
      <c r="D279" s="14" t="n"/>
      <c r="E279" s="14" t="n"/>
      <c r="F279" s="14" t="n"/>
      <c r="G279" s="14" t="n"/>
      <c r="H279" s="14" t="n"/>
      <c r="I279" s="14" t="n"/>
      <c r="J279" s="14" t="n"/>
    </row>
    <row r="280">
      <c r="A280" s="14" t="n"/>
      <c r="B280" s="14" t="n"/>
      <c r="C280" s="14" t="n"/>
      <c r="D280" s="14" t="n"/>
      <c r="E280" s="14" t="n"/>
      <c r="F280" s="14" t="n"/>
      <c r="G280" s="14" t="n"/>
      <c r="H280" s="14" t="n"/>
      <c r="I280" s="14" t="n"/>
      <c r="J280" s="14" t="n"/>
    </row>
    <row r="281">
      <c r="A281" s="14" t="n"/>
      <c r="B281" s="14" t="n"/>
      <c r="C281" s="14" t="n"/>
      <c r="D281" s="14" t="n"/>
      <c r="E281" s="14" t="n"/>
      <c r="F281" s="14" t="n"/>
      <c r="G281" s="14" t="n"/>
      <c r="H281" s="14" t="n"/>
      <c r="I281" s="14" t="n"/>
      <c r="J281" s="14" t="n"/>
    </row>
    <row r="282">
      <c r="A282" s="14" t="n"/>
      <c r="B282" s="14" t="n"/>
      <c r="C282" s="14" t="n"/>
      <c r="D282" s="14" t="n"/>
      <c r="E282" s="14" t="n"/>
      <c r="F282" s="14" t="n"/>
      <c r="G282" s="14" t="n"/>
      <c r="H282" s="14" t="n"/>
      <c r="I282" s="14" t="n"/>
      <c r="J282" s="14" t="n"/>
    </row>
    <row r="283">
      <c r="A283" s="14" t="n"/>
      <c r="B283" s="14" t="n"/>
      <c r="C283" s="14" t="n"/>
      <c r="D283" s="14" t="n"/>
      <c r="E283" s="14" t="n"/>
      <c r="F283" s="14" t="n"/>
      <c r="G283" s="14" t="n"/>
      <c r="H283" s="14" t="n"/>
      <c r="I283" s="14" t="n"/>
      <c r="J283" s="14" t="n"/>
    </row>
    <row r="284">
      <c r="A284" s="14" t="n"/>
      <c r="B284" s="14" t="n"/>
      <c r="C284" s="14" t="n"/>
      <c r="D284" s="14" t="n"/>
      <c r="E284" s="14" t="n"/>
      <c r="F284" s="14" t="n"/>
      <c r="G284" s="14" t="n"/>
      <c r="H284" s="14" t="n"/>
      <c r="I284" s="14" t="n"/>
      <c r="J284" s="14" t="n"/>
    </row>
    <row r="285">
      <c r="A285" s="14" t="n"/>
      <c r="B285" s="14" t="n"/>
      <c r="C285" s="14" t="n"/>
      <c r="D285" s="14" t="n"/>
      <c r="E285" s="14" t="n"/>
      <c r="F285" s="14" t="n"/>
      <c r="G285" s="14" t="n"/>
      <c r="H285" s="14" t="n"/>
      <c r="I285" s="14" t="n"/>
      <c r="J285" s="14" t="n"/>
    </row>
    <row r="286">
      <c r="A286" s="14" t="n"/>
      <c r="B286" s="14" t="n"/>
      <c r="C286" s="14" t="n"/>
      <c r="D286" s="14" t="n"/>
      <c r="E286" s="14" t="n"/>
      <c r="F286" s="14" t="n"/>
      <c r="G286" s="14" t="n"/>
      <c r="H286" s="14" t="n"/>
      <c r="I286" s="14" t="n"/>
      <c r="J286" s="14" t="n"/>
    </row>
    <row r="287">
      <c r="A287" s="14" t="n"/>
      <c r="B287" s="14" t="n"/>
      <c r="C287" s="14" t="n"/>
      <c r="D287" s="14" t="n"/>
      <c r="E287" s="14" t="n"/>
      <c r="F287" s="14" t="n"/>
      <c r="G287" s="14" t="n"/>
      <c r="H287" s="14" t="n"/>
      <c r="I287" s="14" t="n"/>
      <c r="J287" s="14" t="n"/>
    </row>
    <row r="288">
      <c r="A288" s="14" t="n"/>
      <c r="B288" s="14" t="n"/>
      <c r="C288" s="14" t="n"/>
      <c r="D288" s="14" t="n"/>
      <c r="E288" s="14" t="n"/>
      <c r="F288" s="14" t="n"/>
      <c r="G288" s="14" t="n"/>
      <c r="H288" s="14" t="n"/>
      <c r="I288" s="14" t="n"/>
      <c r="J288" s="14" t="n"/>
    </row>
    <row r="289">
      <c r="A289" s="14" t="n"/>
      <c r="B289" s="14" t="n"/>
      <c r="C289" s="14" t="n"/>
      <c r="D289" s="14" t="n"/>
      <c r="E289" s="14" t="n"/>
      <c r="F289" s="14" t="n"/>
      <c r="G289" s="14" t="n"/>
      <c r="H289" s="14" t="n"/>
      <c r="I289" s="14" t="n"/>
      <c r="J289" s="14" t="n"/>
    </row>
    <row r="290">
      <c r="A290" s="14" t="n"/>
      <c r="B290" s="14" t="n"/>
      <c r="C290" s="14" t="n"/>
      <c r="D290" s="14" t="n"/>
      <c r="E290" s="14" t="n"/>
      <c r="F290" s="14" t="n"/>
      <c r="G290" s="14" t="n"/>
      <c r="H290" s="14" t="n"/>
      <c r="I290" s="14" t="n"/>
      <c r="J290" s="14" t="n"/>
    </row>
    <row r="291">
      <c r="A291" s="14" t="n"/>
      <c r="B291" s="14" t="n"/>
      <c r="C291" s="14" t="n"/>
      <c r="D291" s="14" t="n"/>
      <c r="E291" s="14" t="n"/>
      <c r="F291" s="14" t="n"/>
      <c r="G291" s="14" t="n"/>
      <c r="H291" s="14" t="n"/>
      <c r="I291" s="14" t="n"/>
      <c r="J291" s="14" t="n"/>
    </row>
    <row r="292">
      <c r="A292" s="14" t="n"/>
      <c r="B292" s="14" t="n"/>
      <c r="C292" s="14" t="n"/>
      <c r="D292" s="14" t="n"/>
      <c r="E292" s="14" t="n"/>
      <c r="F292" s="14" t="n"/>
      <c r="G292" s="14" t="n"/>
      <c r="H292" s="14" t="n"/>
      <c r="I292" s="14" t="n"/>
      <c r="J292" s="14" t="n"/>
    </row>
    <row r="293">
      <c r="A293" s="14" t="n"/>
      <c r="B293" s="14" t="n"/>
      <c r="C293" s="14" t="n"/>
      <c r="D293" s="14" t="n"/>
      <c r="E293" s="14" t="n"/>
      <c r="F293" s="14" t="n"/>
      <c r="G293" s="14" t="n"/>
      <c r="H293" s="14" t="n"/>
      <c r="I293" s="14" t="n"/>
      <c r="J293" s="14" t="n"/>
    </row>
    <row r="294">
      <c r="A294" s="14" t="n"/>
      <c r="B294" s="14" t="n"/>
      <c r="C294" s="14" t="n"/>
      <c r="D294" s="14" t="n"/>
      <c r="E294" s="14" t="n"/>
      <c r="F294" s="14" t="n"/>
      <c r="G294" s="14" t="n"/>
      <c r="H294" s="14" t="n"/>
      <c r="I294" s="14" t="n"/>
      <c r="J294" s="14" t="n"/>
    </row>
    <row r="295">
      <c r="A295" s="14" t="n"/>
      <c r="B295" s="14" t="n"/>
      <c r="C295" s="14" t="n"/>
      <c r="D295" s="14" t="n"/>
      <c r="E295" s="14" t="n"/>
      <c r="F295" s="14" t="n"/>
      <c r="G295" s="14" t="n"/>
      <c r="H295" s="14" t="n"/>
      <c r="I295" s="14" t="n"/>
      <c r="J295" s="14" t="n"/>
    </row>
    <row r="296">
      <c r="A296" s="14" t="n"/>
      <c r="B296" s="14" t="n"/>
      <c r="C296" s="14" t="n"/>
      <c r="D296" s="14" t="n"/>
      <c r="E296" s="14" t="n"/>
      <c r="F296" s="14" t="n"/>
      <c r="G296" s="14" t="n"/>
      <c r="H296" s="14" t="n"/>
      <c r="I296" s="14" t="n"/>
      <c r="J296" s="14" t="n"/>
    </row>
    <row r="297">
      <c r="A297" s="14" t="n"/>
      <c r="B297" s="14" t="n"/>
      <c r="C297" s="14" t="n"/>
      <c r="D297" s="14" t="n"/>
      <c r="E297" s="14" t="n"/>
      <c r="F297" s="14" t="n"/>
      <c r="G297" s="14" t="n"/>
      <c r="H297" s="14" t="n"/>
      <c r="I297" s="14" t="n"/>
      <c r="J297" s="14" t="n"/>
    </row>
    <row r="298">
      <c r="A298" s="14" t="n"/>
      <c r="B298" s="14" t="n"/>
      <c r="C298" s="14" t="n"/>
      <c r="D298" s="14" t="n"/>
      <c r="E298" s="14" t="n"/>
      <c r="F298" s="14" t="n"/>
      <c r="G298" s="14" t="n"/>
      <c r="H298" s="14" t="n"/>
      <c r="I298" s="14" t="n"/>
      <c r="J298" s="14" t="n"/>
    </row>
    <row r="299">
      <c r="A299" s="14" t="n"/>
      <c r="B299" s="14" t="n"/>
      <c r="C299" s="14" t="n"/>
      <c r="D299" s="14" t="n"/>
      <c r="E299" s="14" t="n"/>
      <c r="F299" s="14" t="n"/>
      <c r="G299" s="14" t="n"/>
      <c r="H299" s="14" t="n"/>
      <c r="I299" s="14" t="n"/>
      <c r="J299" s="14" t="n"/>
    </row>
    <row r="300">
      <c r="A300" s="14" t="n"/>
      <c r="B300" s="14" t="n"/>
      <c r="C300" s="14" t="n"/>
      <c r="D300" s="14" t="n"/>
      <c r="E300" s="14" t="n"/>
      <c r="F300" s="14" t="n"/>
      <c r="G300" s="14" t="n"/>
      <c r="H300" s="14" t="n"/>
      <c r="I300" s="14" t="n"/>
      <c r="J300" s="14" t="n"/>
    </row>
    <row r="301">
      <c r="A301" s="14" t="n"/>
      <c r="B301" s="14" t="n"/>
      <c r="C301" s="14" t="n"/>
      <c r="D301" s="14" t="n"/>
      <c r="E301" s="14" t="n"/>
      <c r="F301" s="14" t="n"/>
      <c r="G301" s="14" t="n"/>
      <c r="H301" s="14" t="n"/>
      <c r="I301" s="14" t="n"/>
      <c r="J301" s="14" t="n"/>
    </row>
    <row r="302">
      <c r="A302" s="14" t="n"/>
      <c r="B302" s="14" t="n"/>
      <c r="C302" s="14" t="n"/>
      <c r="D302" s="14" t="n"/>
      <c r="E302" s="14" t="n"/>
      <c r="F302" s="14" t="n"/>
      <c r="G302" s="14" t="n"/>
      <c r="H302" s="14" t="n"/>
      <c r="I302" s="14" t="n"/>
      <c r="J302" s="14" t="n"/>
    </row>
    <row r="303">
      <c r="A303" s="14" t="n"/>
      <c r="B303" s="14" t="n"/>
      <c r="C303" s="14" t="n"/>
      <c r="D303" s="14" t="n"/>
      <c r="E303" s="14" t="n"/>
      <c r="F303" s="14" t="n"/>
      <c r="G303" s="14" t="n"/>
      <c r="H303" s="14" t="n"/>
      <c r="I303" s="14" t="n"/>
      <c r="J303" s="14" t="n"/>
    </row>
    <row r="304">
      <c r="A304" s="14" t="n"/>
      <c r="B304" s="14" t="n"/>
      <c r="C304" s="14" t="n"/>
      <c r="D304" s="14" t="n"/>
      <c r="E304" s="14" t="n"/>
      <c r="F304" s="14" t="n"/>
      <c r="G304" s="14" t="n"/>
      <c r="H304" s="14" t="n"/>
      <c r="I304" s="14" t="n"/>
      <c r="J304" s="14" t="n"/>
    </row>
    <row r="305">
      <c r="A305" s="14" t="n"/>
      <c r="B305" s="14" t="n"/>
      <c r="C305" s="14" t="n"/>
      <c r="D305" s="14" t="n"/>
      <c r="E305" s="14" t="n"/>
      <c r="F305" s="14" t="n"/>
      <c r="G305" s="14" t="n"/>
      <c r="H305" s="14" t="n"/>
      <c r="I305" s="14" t="n"/>
      <c r="J305" s="14" t="n"/>
    </row>
    <row r="306">
      <c r="A306" s="14" t="n"/>
      <c r="B306" s="14" t="n"/>
      <c r="C306" s="14" t="n"/>
      <c r="D306" s="14" t="n"/>
      <c r="E306" s="14" t="n"/>
      <c r="F306" s="14" t="n"/>
      <c r="G306" s="14" t="n"/>
      <c r="H306" s="14" t="n"/>
      <c r="I306" s="14" t="n"/>
      <c r="J306" s="14" t="n"/>
    </row>
    <row r="307">
      <c r="A307" s="14" t="n"/>
      <c r="B307" s="14" t="n"/>
      <c r="C307" s="14" t="n"/>
      <c r="D307" s="14" t="n"/>
      <c r="E307" s="14" t="n"/>
      <c r="F307" s="14" t="n"/>
      <c r="G307" s="14" t="n"/>
      <c r="H307" s="14" t="n"/>
      <c r="I307" s="14" t="n"/>
      <c r="J307" s="14" t="n"/>
    </row>
    <row r="308">
      <c r="A308" s="14" t="n"/>
      <c r="B308" s="14" t="n"/>
      <c r="C308" s="14" t="n"/>
      <c r="D308" s="14" t="n"/>
      <c r="E308" s="14" t="n"/>
      <c r="F308" s="14" t="n"/>
      <c r="G308" s="14" t="n"/>
      <c r="H308" s="14" t="n"/>
      <c r="I308" s="14" t="n"/>
      <c r="J308" s="14" t="n"/>
    </row>
    <row r="309">
      <c r="A309" s="14" t="n"/>
      <c r="B309" s="14" t="n"/>
      <c r="C309" s="14" t="n"/>
      <c r="D309" s="14" t="n"/>
      <c r="E309" s="14" t="n"/>
      <c r="F309" s="14" t="n"/>
      <c r="G309" s="14" t="n"/>
      <c r="H309" s="14" t="n"/>
      <c r="I309" s="14" t="n"/>
      <c r="J309" s="14" t="n"/>
    </row>
    <row r="310">
      <c r="A310" s="14" t="n"/>
      <c r="B310" s="14" t="n"/>
      <c r="C310" s="14" t="n"/>
      <c r="D310" s="14" t="n"/>
      <c r="E310" s="14" t="n"/>
      <c r="F310" s="14" t="n"/>
      <c r="G310" s="14" t="n"/>
      <c r="H310" s="14" t="n"/>
      <c r="I310" s="14" t="n"/>
      <c r="J310" s="14" t="n"/>
    </row>
    <row r="311">
      <c r="A311" s="14" t="n"/>
      <c r="B311" s="14" t="n"/>
      <c r="C311" s="14" t="n"/>
      <c r="D311" s="14" t="n"/>
      <c r="E311" s="14" t="n"/>
      <c r="F311" s="14" t="n"/>
      <c r="G311" s="14" t="n"/>
      <c r="H311" s="14" t="n"/>
      <c r="I311" s="14" t="n"/>
      <c r="J311" s="14" t="n"/>
    </row>
    <row r="312">
      <c r="A312" s="14" t="n"/>
      <c r="B312" s="14" t="n"/>
      <c r="C312" s="14" t="n"/>
      <c r="D312" s="14" t="n"/>
      <c r="E312" s="14" t="n"/>
      <c r="F312" s="14" t="n"/>
      <c r="G312" s="14" t="n"/>
      <c r="H312" s="14" t="n"/>
      <c r="I312" s="14" t="n"/>
      <c r="J312" s="14" t="n"/>
    </row>
    <row r="313">
      <c r="A313" s="14" t="n"/>
      <c r="B313" s="14" t="n"/>
      <c r="C313" s="14" t="n"/>
      <c r="D313" s="14" t="n"/>
      <c r="E313" s="14" t="n"/>
      <c r="F313" s="14" t="n"/>
      <c r="G313" s="14" t="n"/>
      <c r="H313" s="14" t="n"/>
      <c r="I313" s="14" t="n"/>
      <c r="J313" s="14" t="n"/>
    </row>
    <row r="314">
      <c r="A314" s="14" t="n"/>
      <c r="B314" s="14" t="n"/>
      <c r="C314" s="14" t="n"/>
      <c r="D314" s="14" t="n"/>
      <c r="E314" s="14" t="n"/>
      <c r="F314" s="14" t="n"/>
      <c r="G314" s="14" t="n"/>
      <c r="H314" s="14" t="n"/>
      <c r="I314" s="14" t="n"/>
      <c r="J314" s="14" t="n"/>
    </row>
    <row r="315">
      <c r="A315" s="14" t="n"/>
      <c r="B315" s="14" t="n"/>
      <c r="C315" s="14" t="n"/>
      <c r="D315" s="14" t="n"/>
      <c r="E315" s="14" t="n"/>
      <c r="F315" s="14" t="n"/>
      <c r="G315" s="14" t="n"/>
      <c r="H315" s="14" t="n"/>
      <c r="I315" s="14" t="n"/>
      <c r="J315" s="14" t="n"/>
    </row>
    <row r="316">
      <c r="A316" s="14" t="n"/>
      <c r="B316" s="14" t="n"/>
      <c r="C316" s="14" t="n"/>
      <c r="D316" s="14" t="n"/>
      <c r="E316" s="14" t="n"/>
      <c r="F316" s="14" t="n"/>
      <c r="G316" s="14" t="n"/>
      <c r="H316" s="14" t="n"/>
      <c r="I316" s="14" t="n"/>
      <c r="J316" s="14" t="n"/>
    </row>
    <row r="317">
      <c r="A317" s="14" t="n"/>
      <c r="B317" s="14" t="n"/>
      <c r="C317" s="14" t="n"/>
      <c r="D317" s="14" t="n"/>
      <c r="E317" s="14" t="n"/>
      <c r="F317" s="14" t="n"/>
      <c r="G317" s="14" t="n"/>
      <c r="H317" s="14" t="n"/>
      <c r="I317" s="14" t="n"/>
      <c r="J317" s="14" t="n"/>
    </row>
    <row r="318">
      <c r="A318" s="14" t="n"/>
      <c r="B318" s="14" t="n"/>
      <c r="C318" s="14" t="n"/>
      <c r="D318" s="14" t="n"/>
      <c r="E318" s="14" t="n"/>
      <c r="F318" s="14" t="n"/>
      <c r="G318" s="14" t="n"/>
      <c r="H318" s="14" t="n"/>
      <c r="I318" s="14" t="n"/>
      <c r="J318" s="14" t="n"/>
    </row>
    <row r="319">
      <c r="A319" s="14" t="n"/>
      <c r="B319" s="14" t="n"/>
      <c r="C319" s="14" t="n"/>
      <c r="D319" s="14" t="n"/>
      <c r="E319" s="14" t="n"/>
      <c r="F319" s="14" t="n"/>
      <c r="G319" s="14" t="n"/>
      <c r="H319" s="14" t="n"/>
      <c r="I319" s="14" t="n"/>
      <c r="J319" s="14" t="n"/>
    </row>
    <row r="320">
      <c r="A320" s="14" t="n"/>
      <c r="B320" s="14" t="n"/>
      <c r="C320" s="14" t="n"/>
      <c r="D320" s="14" t="n"/>
      <c r="E320" s="14" t="n"/>
      <c r="F320" s="14" t="n"/>
      <c r="G320" s="14" t="n"/>
      <c r="H320" s="14" t="n"/>
      <c r="I320" s="14" t="n"/>
      <c r="J320" s="14" t="n"/>
    </row>
    <row r="321">
      <c r="A321" s="14" t="n"/>
      <c r="B321" s="14" t="n"/>
      <c r="C321" s="14" t="n"/>
      <c r="D321" s="14" t="n"/>
      <c r="E321" s="14" t="n"/>
      <c r="F321" s="14" t="n"/>
      <c r="G321" s="14" t="n"/>
      <c r="H321" s="14" t="n"/>
      <c r="I321" s="14" t="n"/>
      <c r="J321" s="14" t="n"/>
    </row>
    <row r="322">
      <c r="A322" s="14" t="n"/>
      <c r="B322" s="14" t="n"/>
      <c r="C322" s="14" t="n"/>
      <c r="D322" s="14" t="n"/>
      <c r="E322" s="14" t="n"/>
      <c r="F322" s="14" t="n"/>
      <c r="G322" s="14" t="n"/>
      <c r="H322" s="14" t="n"/>
      <c r="I322" s="14" t="n"/>
      <c r="J322" s="14" t="n"/>
    </row>
    <row r="323">
      <c r="A323" s="14" t="n"/>
      <c r="B323" s="14" t="n"/>
      <c r="C323" s="14" t="n"/>
      <c r="D323" s="14" t="n"/>
      <c r="E323" s="14" t="n"/>
      <c r="F323" s="14" t="n"/>
      <c r="G323" s="14" t="n"/>
      <c r="H323" s="14" t="n"/>
      <c r="I323" s="14" t="n"/>
      <c r="J323" s="14" t="n"/>
    </row>
    <row r="324">
      <c r="A324" s="14" t="n"/>
      <c r="B324" s="14" t="n"/>
      <c r="C324" s="14" t="n"/>
      <c r="D324" s="14" t="n"/>
      <c r="E324" s="14" t="n"/>
      <c r="F324" s="14" t="n"/>
      <c r="G324" s="14" t="n"/>
      <c r="H324" s="14" t="n"/>
      <c r="I324" s="14" t="n"/>
      <c r="J324" s="14" t="n"/>
    </row>
    <row r="325">
      <c r="A325" s="14" t="n"/>
      <c r="B325" s="14" t="n"/>
      <c r="C325" s="14" t="n"/>
      <c r="D325" s="14" t="n"/>
      <c r="E325" s="14" t="n"/>
      <c r="F325" s="14" t="n"/>
      <c r="G325" s="14" t="n"/>
      <c r="H325" s="14" t="n"/>
      <c r="I325" s="14" t="n"/>
      <c r="J325" s="14" t="n"/>
    </row>
    <row r="326">
      <c r="A326" s="14" t="n"/>
      <c r="B326" s="14" t="n"/>
      <c r="C326" s="14" t="n"/>
      <c r="D326" s="14" t="n"/>
      <c r="E326" s="14" t="n"/>
      <c r="F326" s="14" t="n"/>
      <c r="G326" s="14" t="n"/>
      <c r="H326" s="14" t="n"/>
      <c r="I326" s="14" t="n"/>
      <c r="J326" s="14" t="n"/>
    </row>
    <row r="327">
      <c r="A327" s="14" t="n"/>
      <c r="B327" s="14" t="n"/>
      <c r="C327" s="14" t="n"/>
      <c r="D327" s="14" t="n"/>
      <c r="E327" s="14" t="n"/>
      <c r="F327" s="14" t="n"/>
      <c r="G327" s="14" t="n"/>
      <c r="H327" s="14" t="n"/>
      <c r="I327" s="14" t="n"/>
      <c r="J327" s="14" t="n"/>
    </row>
    <row r="328">
      <c r="A328" s="14" t="n"/>
      <c r="B328" s="14" t="n"/>
      <c r="C328" s="14" t="n"/>
      <c r="D328" s="14" t="n"/>
      <c r="E328" s="14" t="n"/>
      <c r="F328" s="14" t="n"/>
      <c r="G328" s="14" t="n"/>
      <c r="H328" s="14" t="n"/>
      <c r="I328" s="14" t="n"/>
      <c r="J328" s="14" t="n"/>
    </row>
    <row r="329">
      <c r="A329" s="14" t="n"/>
      <c r="B329" s="14" t="n"/>
      <c r="C329" s="14" t="n"/>
      <c r="D329" s="14" t="n"/>
      <c r="E329" s="14" t="n"/>
      <c r="F329" s="14" t="n"/>
      <c r="G329" s="14" t="n"/>
      <c r="H329" s="14" t="n"/>
      <c r="I329" s="14" t="n"/>
      <c r="J329" s="14" t="n"/>
    </row>
    <row r="330">
      <c r="A330" s="14" t="n"/>
      <c r="B330" s="14" t="n"/>
      <c r="C330" s="14" t="n"/>
      <c r="D330" s="14" t="n"/>
      <c r="E330" s="14" t="n"/>
      <c r="F330" s="14" t="n"/>
      <c r="G330" s="14" t="n"/>
      <c r="H330" s="14" t="n"/>
      <c r="I330" s="14" t="n"/>
      <c r="J330" s="14" t="n"/>
    </row>
    <row r="331">
      <c r="A331" s="14" t="n"/>
      <c r="B331" s="14" t="n"/>
      <c r="C331" s="14" t="n"/>
      <c r="D331" s="14" t="n"/>
      <c r="E331" s="14" t="n"/>
      <c r="F331" s="14" t="n"/>
      <c r="G331" s="14" t="n"/>
      <c r="H331" s="14" t="n"/>
      <c r="I331" s="14" t="n"/>
      <c r="J331" s="14" t="n"/>
    </row>
    <row r="332">
      <c r="A332" s="14" t="n"/>
      <c r="B332" s="14" t="n"/>
      <c r="C332" s="14" t="n"/>
      <c r="D332" s="14" t="n"/>
      <c r="E332" s="14" t="n"/>
      <c r="F332" s="14" t="n"/>
      <c r="G332" s="14" t="n"/>
      <c r="H332" s="14" t="n"/>
      <c r="I332" s="14" t="n"/>
      <c r="J332" s="14" t="n"/>
    </row>
    <row r="333">
      <c r="A333" s="14" t="n"/>
      <c r="B333" s="14" t="n"/>
      <c r="C333" s="14" t="n"/>
      <c r="D333" s="14" t="n"/>
      <c r="E333" s="14" t="n"/>
      <c r="F333" s="14" t="n"/>
      <c r="G333" s="14" t="n"/>
      <c r="H333" s="14" t="n"/>
      <c r="I333" s="14" t="n"/>
      <c r="J333" s="14" t="n"/>
    </row>
    <row r="334">
      <c r="A334" s="14" t="n"/>
      <c r="B334" s="14" t="n"/>
      <c r="C334" s="14" t="n"/>
      <c r="D334" s="14" t="n"/>
      <c r="E334" s="14" t="n"/>
      <c r="F334" s="14" t="n"/>
      <c r="G334" s="14" t="n"/>
      <c r="H334" s="14" t="n"/>
      <c r="I334" s="14" t="n"/>
      <c r="J334" s="14" t="n"/>
    </row>
    <row r="335">
      <c r="A335" s="14" t="n"/>
      <c r="B335" s="14" t="n"/>
      <c r="C335" s="14" t="n"/>
      <c r="D335" s="14" t="n"/>
      <c r="E335" s="14" t="n"/>
      <c r="F335" s="14" t="n"/>
      <c r="G335" s="14" t="n"/>
      <c r="H335" s="14" t="n"/>
      <c r="I335" s="14" t="n"/>
      <c r="J335" s="14" t="n"/>
    </row>
    <row r="336">
      <c r="A336" s="14" t="n"/>
      <c r="B336" s="14" t="n"/>
      <c r="C336" s="14" t="n"/>
      <c r="D336" s="14" t="n"/>
      <c r="E336" s="14" t="n"/>
      <c r="F336" s="14" t="n"/>
      <c r="G336" s="14" t="n"/>
      <c r="H336" s="14" t="n"/>
      <c r="I336" s="14" t="n"/>
      <c r="J336" s="14" t="n"/>
    </row>
    <row r="337">
      <c r="A337" s="14" t="n"/>
      <c r="B337" s="14" t="n"/>
      <c r="C337" s="14" t="n"/>
      <c r="D337" s="14" t="n"/>
      <c r="E337" s="14" t="n"/>
      <c r="F337" s="14" t="n"/>
      <c r="G337" s="14" t="n"/>
      <c r="H337" s="14" t="n"/>
      <c r="I337" s="14" t="n"/>
      <c r="J337" s="14" t="n"/>
    </row>
    <row r="338">
      <c r="A338" s="14" t="n"/>
      <c r="B338" s="14" t="n"/>
      <c r="C338" s="14" t="n"/>
      <c r="D338" s="14" t="n"/>
      <c r="E338" s="14" t="n"/>
      <c r="F338" s="14" t="n"/>
      <c r="G338" s="14" t="n"/>
      <c r="H338" s="14" t="n"/>
      <c r="I338" s="14" t="n"/>
      <c r="J338" s="14" t="n"/>
    </row>
    <row r="339">
      <c r="A339" s="14" t="n"/>
      <c r="B339" s="14" t="n"/>
      <c r="C339" s="14" t="n"/>
      <c r="D339" s="14" t="n"/>
      <c r="E339" s="14" t="n"/>
      <c r="F339" s="14" t="n"/>
      <c r="G339" s="14" t="n"/>
      <c r="H339" s="14" t="n"/>
      <c r="I339" s="14" t="n"/>
      <c r="J339" s="14" t="n"/>
    </row>
    <row r="340">
      <c r="A340" s="14" t="n"/>
      <c r="B340" s="14" t="n"/>
      <c r="C340" s="14" t="n"/>
      <c r="D340" s="14" t="n"/>
      <c r="E340" s="14" t="n"/>
      <c r="F340" s="14" t="n"/>
      <c r="G340" s="14" t="n"/>
      <c r="H340" s="14" t="n"/>
      <c r="I340" s="14" t="n"/>
      <c r="J340" s="14" t="n"/>
    </row>
    <row r="341">
      <c r="A341" s="14" t="n"/>
      <c r="B341" s="14" t="n"/>
      <c r="C341" s="14" t="n"/>
      <c r="D341" s="14" t="n"/>
      <c r="E341" s="14" t="n"/>
      <c r="F341" s="14" t="n"/>
      <c r="G341" s="14" t="n"/>
      <c r="H341" s="14" t="n"/>
      <c r="I341" s="14" t="n"/>
      <c r="J341" s="14" t="n"/>
    </row>
    <row r="342">
      <c r="A342" s="14" t="n"/>
      <c r="B342" s="14" t="n"/>
      <c r="C342" s="14" t="n"/>
      <c r="D342" s="14" t="n"/>
      <c r="E342" s="14" t="n"/>
      <c r="F342" s="14" t="n"/>
      <c r="G342" s="14" t="n"/>
      <c r="H342" s="14" t="n"/>
      <c r="I342" s="14" t="n"/>
      <c r="J342" s="14" t="n"/>
    </row>
    <row r="343">
      <c r="A343" s="14" t="n"/>
      <c r="B343" s="14" t="n"/>
      <c r="C343" s="14" t="n"/>
      <c r="D343" s="14" t="n"/>
      <c r="E343" s="14" t="n"/>
      <c r="F343" s="14" t="n"/>
      <c r="G343" s="14" t="n"/>
      <c r="H343" s="14" t="n"/>
      <c r="I343" s="14" t="n"/>
      <c r="J343" s="14" t="n"/>
    </row>
    <row r="344">
      <c r="A344" s="14" t="n"/>
      <c r="B344" s="14" t="n"/>
      <c r="C344" s="14" t="n"/>
      <c r="D344" s="14" t="n"/>
      <c r="E344" s="14" t="n"/>
      <c r="F344" s="14" t="n"/>
      <c r="G344" s="14" t="n"/>
      <c r="H344" s="14" t="n"/>
      <c r="I344" s="14" t="n"/>
      <c r="J344" s="14" t="n"/>
    </row>
    <row r="345">
      <c r="A345" s="14" t="n"/>
      <c r="B345" s="14" t="n"/>
      <c r="C345" s="14" t="n"/>
      <c r="D345" s="14" t="n"/>
      <c r="E345" s="14" t="n"/>
      <c r="F345" s="14" t="n"/>
      <c r="G345" s="14" t="n"/>
      <c r="H345" s="14" t="n"/>
      <c r="I345" s="14" t="n"/>
      <c r="J345" s="14" t="n"/>
    </row>
    <row r="346">
      <c r="A346" s="14" t="n"/>
      <c r="B346" s="14" t="n"/>
      <c r="C346" s="14" t="n"/>
      <c r="D346" s="14" t="n"/>
      <c r="E346" s="14" t="n"/>
      <c r="F346" s="14" t="n"/>
      <c r="G346" s="14" t="n"/>
      <c r="H346" s="14" t="n"/>
      <c r="I346" s="14" t="n"/>
      <c r="J346" s="14" t="n"/>
    </row>
    <row r="347">
      <c r="A347" s="14" t="n"/>
      <c r="B347" s="14" t="n"/>
      <c r="C347" s="14" t="n"/>
      <c r="D347" s="14" t="n"/>
      <c r="E347" s="14" t="n"/>
      <c r="F347" s="14" t="n"/>
      <c r="G347" s="14" t="n"/>
      <c r="H347" s="14" t="n"/>
      <c r="I347" s="14" t="n"/>
      <c r="J347" s="14" t="n"/>
    </row>
    <row r="348">
      <c r="A348" s="14" t="n"/>
      <c r="B348" s="14" t="n"/>
      <c r="C348" s="14" t="n"/>
      <c r="D348" s="14" t="n"/>
      <c r="E348" s="14" t="n"/>
      <c r="F348" s="14" t="n"/>
      <c r="G348" s="14" t="n"/>
      <c r="H348" s="14" t="n"/>
      <c r="I348" s="14" t="n"/>
      <c r="J348" s="14" t="n"/>
    </row>
    <row r="349">
      <c r="A349" s="14" t="n"/>
      <c r="B349" s="14" t="n"/>
      <c r="C349" s="14" t="n"/>
      <c r="D349" s="14" t="n"/>
      <c r="E349" s="14" t="n"/>
      <c r="F349" s="14" t="n"/>
      <c r="G349" s="14" t="n"/>
      <c r="H349" s="14" t="n"/>
      <c r="I349" s="14" t="n"/>
      <c r="J349" s="14" t="n"/>
    </row>
    <row r="350">
      <c r="A350" s="14" t="n"/>
      <c r="B350" s="14" t="n"/>
      <c r="C350" s="14" t="n"/>
      <c r="D350" s="14" t="n"/>
      <c r="E350" s="14" t="n"/>
      <c r="F350" s="14" t="n"/>
      <c r="G350" s="14" t="n"/>
      <c r="H350" s="14" t="n"/>
      <c r="I350" s="14" t="n"/>
      <c r="J350" s="14" t="n"/>
    </row>
    <row r="351">
      <c r="A351" s="14" t="n"/>
      <c r="B351" s="14" t="n"/>
      <c r="C351" s="14" t="n"/>
      <c r="D351" s="14" t="n"/>
      <c r="E351" s="14" t="n"/>
      <c r="F351" s="14" t="n"/>
      <c r="G351" s="14" t="n"/>
      <c r="H351" s="14" t="n"/>
      <c r="I351" s="14" t="n"/>
      <c r="J351" s="14" t="n"/>
    </row>
    <row r="352">
      <c r="A352" s="14" t="n"/>
      <c r="B352" s="14" t="n"/>
      <c r="C352" s="14" t="n"/>
      <c r="D352" s="14" t="n"/>
      <c r="E352" s="14" t="n"/>
      <c r="F352" s="14" t="n"/>
      <c r="G352" s="14" t="n"/>
      <c r="H352" s="14" t="n"/>
      <c r="I352" s="14" t="n"/>
      <c r="J352" s="14" t="n"/>
    </row>
    <row r="353">
      <c r="A353" s="14" t="n"/>
      <c r="B353" s="14" t="n"/>
      <c r="C353" s="14" t="n"/>
      <c r="D353" s="14" t="n"/>
      <c r="E353" s="14" t="n"/>
      <c r="F353" s="14" t="n"/>
      <c r="G353" s="14" t="n"/>
      <c r="H353" s="14" t="n"/>
      <c r="I353" s="14" t="n"/>
      <c r="J353" s="14" t="n"/>
    </row>
    <row r="354">
      <c r="A354" s="14" t="n"/>
      <c r="B354" s="14" t="n"/>
      <c r="C354" s="14" t="n"/>
      <c r="D354" s="14" t="n"/>
      <c r="E354" s="14" t="n"/>
      <c r="F354" s="14" t="n"/>
      <c r="G354" s="14" t="n"/>
      <c r="H354" s="14" t="n"/>
      <c r="I354" s="14" t="n"/>
      <c r="J354" s="14" t="n"/>
    </row>
    <row r="355">
      <c r="A355" s="14" t="n"/>
      <c r="B355" s="14" t="n"/>
      <c r="C355" s="14" t="n"/>
      <c r="D355" s="14" t="n"/>
      <c r="E355" s="14" t="n"/>
      <c r="F355" s="14" t="n"/>
      <c r="G355" s="14" t="n"/>
      <c r="H355" s="14" t="n"/>
      <c r="I355" s="14" t="n"/>
      <c r="J355" s="14" t="n"/>
    </row>
    <row r="356">
      <c r="A356" s="14" t="n"/>
      <c r="B356" s="14" t="n"/>
      <c r="C356" s="14" t="n"/>
      <c r="D356" s="14" t="n"/>
      <c r="E356" s="14" t="n"/>
      <c r="F356" s="14" t="n"/>
      <c r="G356" s="14" t="n"/>
      <c r="H356" s="14" t="n"/>
      <c r="I356" s="14" t="n"/>
      <c r="J356" s="14" t="n"/>
    </row>
    <row r="357">
      <c r="A357" s="14" t="n"/>
      <c r="B357" s="14" t="n"/>
      <c r="C357" s="14" t="n"/>
      <c r="D357" s="14" t="n"/>
      <c r="E357" s="14" t="n"/>
      <c r="F357" s="14" t="n"/>
      <c r="G357" s="14" t="n"/>
      <c r="H357" s="14" t="n"/>
      <c r="I357" s="14" t="n"/>
      <c r="J357" s="14" t="n"/>
    </row>
    <row r="358">
      <c r="A358" s="14" t="n"/>
      <c r="B358" s="14" t="n"/>
      <c r="C358" s="14" t="n"/>
      <c r="D358" s="14" t="n"/>
      <c r="E358" s="14" t="n"/>
      <c r="F358" s="14" t="n"/>
      <c r="G358" s="14" t="n"/>
      <c r="H358" s="14" t="n"/>
      <c r="I358" s="14" t="n"/>
      <c r="J358" s="14" t="n"/>
    </row>
    <row r="359">
      <c r="A359" s="14" t="n"/>
      <c r="B359" s="14" t="n"/>
      <c r="C359" s="14" t="n"/>
      <c r="D359" s="14" t="n"/>
      <c r="E359" s="14" t="n"/>
      <c r="F359" s="14" t="n"/>
      <c r="G359" s="14" t="n"/>
      <c r="H359" s="14" t="n"/>
      <c r="I359" s="14" t="n"/>
      <c r="J359" s="14" t="n"/>
    </row>
    <row r="360">
      <c r="A360" s="14" t="n"/>
      <c r="B360" s="14" t="n"/>
      <c r="C360" s="14" t="n"/>
      <c r="D360" s="14" t="n"/>
      <c r="E360" s="14" t="n"/>
      <c r="F360" s="14" t="n"/>
      <c r="G360" s="14" t="n"/>
      <c r="H360" s="14" t="n"/>
      <c r="I360" s="14" t="n"/>
      <c r="J360" s="14" t="n"/>
    </row>
    <row r="361">
      <c r="A361" s="14" t="n"/>
      <c r="B361" s="14" t="n"/>
      <c r="C361" s="14" t="n"/>
      <c r="D361" s="14" t="n"/>
      <c r="E361" s="14" t="n"/>
      <c r="F361" s="14" t="n"/>
      <c r="G361" s="14" t="n"/>
      <c r="H361" s="14" t="n"/>
      <c r="I361" s="14" t="n"/>
      <c r="J361" s="14" t="n"/>
    </row>
    <row r="362">
      <c r="A362" s="14" t="n"/>
      <c r="B362" s="14" t="n"/>
      <c r="C362" s="14" t="n"/>
      <c r="D362" s="14" t="n"/>
      <c r="E362" s="14" t="n"/>
      <c r="F362" s="14" t="n"/>
      <c r="G362" s="14" t="n"/>
      <c r="H362" s="14" t="n"/>
      <c r="I362" s="14" t="n"/>
      <c r="J362" s="14" t="n"/>
    </row>
    <row r="363">
      <c r="A363" s="14" t="n"/>
      <c r="B363" s="14" t="n"/>
      <c r="C363" s="14" t="n"/>
      <c r="D363" s="14" t="n"/>
      <c r="E363" s="14" t="n"/>
      <c r="F363" s="14" t="n"/>
      <c r="G363" s="14" t="n"/>
      <c r="H363" s="14" t="n"/>
      <c r="I363" s="14" t="n"/>
      <c r="J363" s="14" t="n"/>
    </row>
    <row r="364">
      <c r="A364" s="14" t="n"/>
      <c r="B364" s="14" t="n"/>
      <c r="C364" s="14" t="n"/>
      <c r="D364" s="14" t="n"/>
      <c r="E364" s="14" t="n"/>
      <c r="F364" s="14" t="n"/>
      <c r="G364" s="14" t="n"/>
      <c r="H364" s="14" t="n"/>
      <c r="I364" s="14" t="n"/>
      <c r="J364" s="14" t="n"/>
    </row>
    <row r="365">
      <c r="A365" s="14" t="n"/>
      <c r="B365" s="14" t="n"/>
      <c r="C365" s="14" t="n"/>
      <c r="D365" s="14" t="n"/>
      <c r="E365" s="14" t="n"/>
      <c r="F365" s="14" t="n"/>
      <c r="G365" s="14" t="n"/>
      <c r="H365" s="14" t="n"/>
      <c r="I365" s="14" t="n"/>
      <c r="J365" s="14" t="n"/>
    </row>
    <row r="366">
      <c r="A366" s="14" t="n"/>
      <c r="B366" s="14" t="n"/>
      <c r="C366" s="14" t="n"/>
      <c r="D366" s="14" t="n"/>
      <c r="E366" s="14" t="n"/>
      <c r="F366" s="14" t="n"/>
      <c r="G366" s="14" t="n"/>
      <c r="H366" s="14" t="n"/>
      <c r="I366" s="14" t="n"/>
      <c r="J366" s="14" t="n"/>
    </row>
    <row r="367">
      <c r="A367" s="14" t="n"/>
      <c r="B367" s="14" t="n"/>
      <c r="C367" s="14" t="n"/>
      <c r="D367" s="14" t="n"/>
      <c r="E367" s="14" t="n"/>
      <c r="F367" s="14" t="n"/>
      <c r="G367" s="14" t="n"/>
      <c r="H367" s="14" t="n"/>
      <c r="I367" s="14" t="n"/>
      <c r="J367" s="14" t="n"/>
    </row>
    <row r="368">
      <c r="A368" s="14" t="n"/>
      <c r="B368" s="14" t="n"/>
      <c r="C368" s="14" t="n"/>
      <c r="D368" s="14" t="n"/>
      <c r="E368" s="14" t="n"/>
      <c r="F368" s="14" t="n"/>
      <c r="G368" s="14" t="n"/>
      <c r="H368" s="14" t="n"/>
      <c r="I368" s="14" t="n"/>
      <c r="J368" s="14" t="n"/>
    </row>
    <row r="369">
      <c r="A369" s="14" t="n"/>
      <c r="B369" s="14" t="n"/>
      <c r="C369" s="14" t="n"/>
      <c r="D369" s="14" t="n"/>
      <c r="E369" s="14" t="n"/>
      <c r="F369" s="14" t="n"/>
      <c r="G369" s="14" t="n"/>
      <c r="H369" s="14" t="n"/>
      <c r="I369" s="14" t="n"/>
      <c r="J369" s="14" t="n"/>
    </row>
    <row r="370">
      <c r="A370" s="14" t="n"/>
      <c r="B370" s="14" t="n"/>
      <c r="C370" s="14" t="n"/>
      <c r="D370" s="14" t="n"/>
      <c r="E370" s="14" t="n"/>
      <c r="F370" s="14" t="n"/>
      <c r="G370" s="14" t="n"/>
      <c r="H370" s="14" t="n"/>
      <c r="I370" s="14" t="n"/>
      <c r="J370" s="14" t="n"/>
    </row>
    <row r="371">
      <c r="A371" s="14" t="n"/>
      <c r="B371" s="14" t="n"/>
      <c r="C371" s="14" t="n"/>
      <c r="D371" s="14" t="n"/>
      <c r="E371" s="14" t="n"/>
      <c r="F371" s="14" t="n"/>
      <c r="G371" s="14" t="n"/>
      <c r="H371" s="14" t="n"/>
      <c r="I371" s="14" t="n"/>
      <c r="J371" s="14" t="n"/>
    </row>
    <row r="372">
      <c r="A372" s="14" t="n"/>
      <c r="B372" s="14" t="n"/>
      <c r="C372" s="14" t="n"/>
      <c r="D372" s="14" t="n"/>
      <c r="E372" s="14" t="n"/>
      <c r="F372" s="14" t="n"/>
      <c r="G372" s="14" t="n"/>
      <c r="H372" s="14" t="n"/>
      <c r="I372" s="14" t="n"/>
      <c r="J372" s="14" t="n"/>
    </row>
    <row r="373">
      <c r="A373" s="14" t="n"/>
      <c r="B373" s="14" t="n"/>
      <c r="C373" s="14" t="n"/>
      <c r="D373" s="14" t="n"/>
      <c r="E373" s="14" t="n"/>
      <c r="F373" s="14" t="n"/>
      <c r="G373" s="14" t="n"/>
      <c r="H373" s="14" t="n"/>
      <c r="I373" s="14" t="n"/>
      <c r="J373" s="14" t="n"/>
    </row>
    <row r="374">
      <c r="A374" s="14" t="n"/>
      <c r="B374" s="14" t="n"/>
      <c r="C374" s="14" t="n"/>
      <c r="D374" s="14" t="n"/>
      <c r="E374" s="14" t="n"/>
      <c r="F374" s="14" t="n"/>
      <c r="G374" s="14" t="n"/>
      <c r="H374" s="14" t="n"/>
      <c r="I374" s="14" t="n"/>
      <c r="J374" s="14" t="n"/>
    </row>
    <row r="375">
      <c r="A375" s="14" t="n"/>
      <c r="B375" s="14" t="n"/>
      <c r="C375" s="14" t="n"/>
      <c r="D375" s="14" t="n"/>
      <c r="E375" s="14" t="n"/>
      <c r="F375" s="14" t="n"/>
      <c r="G375" s="14" t="n"/>
      <c r="H375" s="14" t="n"/>
      <c r="I375" s="14" t="n"/>
      <c r="J375" s="14" t="n"/>
    </row>
    <row r="376">
      <c r="A376" s="14" t="n"/>
      <c r="B376" s="14" t="n"/>
      <c r="C376" s="14" t="n"/>
      <c r="D376" s="14" t="n"/>
      <c r="E376" s="14" t="n"/>
      <c r="F376" s="14" t="n"/>
      <c r="G376" s="14" t="n"/>
      <c r="H376" s="14" t="n"/>
      <c r="I376" s="14" t="n"/>
      <c r="J376" s="14" t="n"/>
    </row>
    <row r="377">
      <c r="A377" s="14" t="n"/>
      <c r="B377" s="14" t="n"/>
      <c r="C377" s="14" t="n"/>
      <c r="D377" s="14" t="n"/>
      <c r="E377" s="14" t="n"/>
      <c r="F377" s="14" t="n"/>
      <c r="G377" s="14" t="n"/>
      <c r="H377" s="14" t="n"/>
      <c r="I377" s="14" t="n"/>
      <c r="J377" s="14" t="n"/>
    </row>
    <row r="378">
      <c r="A378" s="14" t="n"/>
      <c r="B378" s="14" t="n"/>
      <c r="C378" s="14" t="n"/>
      <c r="D378" s="14" t="n"/>
      <c r="E378" s="14" t="n"/>
      <c r="F378" s="14" t="n"/>
      <c r="G378" s="14" t="n"/>
      <c r="H378" s="14" t="n"/>
      <c r="I378" s="14" t="n"/>
      <c r="J378" s="14" t="n"/>
    </row>
    <row r="379">
      <c r="A379" s="14" t="n"/>
      <c r="B379" s="14" t="n"/>
      <c r="C379" s="14" t="n"/>
      <c r="D379" s="14" t="n"/>
      <c r="E379" s="14" t="n"/>
      <c r="F379" s="14" t="n"/>
      <c r="G379" s="14" t="n"/>
      <c r="H379" s="14" t="n"/>
      <c r="I379" s="14" t="n"/>
      <c r="J379" s="14" t="n"/>
    </row>
    <row r="380">
      <c r="A380" s="14" t="n"/>
      <c r="B380" s="14" t="n"/>
      <c r="C380" s="14" t="n"/>
      <c r="D380" s="14" t="n"/>
      <c r="E380" s="14" t="n"/>
      <c r="F380" s="14" t="n"/>
      <c r="G380" s="14" t="n"/>
      <c r="H380" s="14" t="n"/>
      <c r="I380" s="14" t="n"/>
      <c r="J380" s="14" t="n"/>
    </row>
    <row r="381">
      <c r="A381" s="14" t="n"/>
      <c r="B381" s="14" t="n"/>
      <c r="C381" s="14" t="n"/>
      <c r="D381" s="14" t="n"/>
      <c r="E381" s="14" t="n"/>
      <c r="F381" s="14" t="n"/>
      <c r="G381" s="14" t="n"/>
      <c r="H381" s="14" t="n"/>
      <c r="I381" s="14" t="n"/>
      <c r="J381" s="14" t="n"/>
    </row>
    <row r="382">
      <c r="A382" s="14" t="n"/>
      <c r="B382" s="14" t="n"/>
      <c r="C382" s="14" t="n"/>
      <c r="D382" s="14" t="n"/>
      <c r="E382" s="14" t="n"/>
      <c r="F382" s="14" t="n"/>
      <c r="G382" s="14" t="n"/>
      <c r="H382" s="14" t="n"/>
      <c r="I382" s="14" t="n"/>
      <c r="J382" s="14" t="n"/>
    </row>
    <row r="383">
      <c r="A383" s="14" t="n"/>
      <c r="B383" s="14" t="n"/>
      <c r="C383" s="14" t="n"/>
      <c r="D383" s="14" t="n"/>
      <c r="E383" s="14" t="n"/>
      <c r="F383" s="14" t="n"/>
      <c r="G383" s="14" t="n"/>
      <c r="H383" s="14" t="n"/>
      <c r="I383" s="14" t="n"/>
      <c r="J383" s="14" t="n"/>
    </row>
    <row r="384">
      <c r="A384" s="14" t="n"/>
      <c r="B384" s="14" t="n"/>
      <c r="C384" s="14" t="n"/>
      <c r="D384" s="14" t="n"/>
      <c r="E384" s="14" t="n"/>
      <c r="F384" s="14" t="n"/>
      <c r="G384" s="14" t="n"/>
      <c r="H384" s="14" t="n"/>
      <c r="I384" s="14" t="n"/>
      <c r="J384" s="14" t="n"/>
    </row>
    <row r="385">
      <c r="A385" s="14" t="n"/>
      <c r="B385" s="14" t="n"/>
      <c r="C385" s="14" t="n"/>
      <c r="D385" s="14" t="n"/>
      <c r="E385" s="14" t="n"/>
      <c r="F385" s="14" t="n"/>
      <c r="G385" s="14" t="n"/>
      <c r="H385" s="14" t="n"/>
      <c r="I385" s="14" t="n"/>
      <c r="J385" s="14" t="n"/>
    </row>
    <row r="386">
      <c r="A386" s="14" t="n"/>
      <c r="B386" s="14" t="n"/>
      <c r="C386" s="14" t="n"/>
      <c r="D386" s="14" t="n"/>
      <c r="E386" s="14" t="n"/>
      <c r="F386" s="14" t="n"/>
      <c r="G386" s="14" t="n"/>
      <c r="H386" s="14" t="n"/>
      <c r="I386" s="14" t="n"/>
      <c r="J386" s="14" t="n"/>
    </row>
    <row r="387">
      <c r="A387" s="14" t="n"/>
      <c r="B387" s="14" t="n"/>
      <c r="C387" s="14" t="n"/>
      <c r="D387" s="14" t="n"/>
      <c r="E387" s="14" t="n"/>
      <c r="F387" s="14" t="n"/>
      <c r="G387" s="14" t="n"/>
      <c r="H387" s="14" t="n"/>
      <c r="I387" s="14" t="n"/>
      <c r="J387" s="14" t="n"/>
    </row>
    <row r="388">
      <c r="A388" s="14" t="n"/>
      <c r="B388" s="14" t="n"/>
      <c r="C388" s="14" t="n"/>
      <c r="D388" s="14" t="n"/>
      <c r="E388" s="14" t="n"/>
      <c r="F388" s="14" t="n"/>
      <c r="G388" s="14" t="n"/>
      <c r="H388" s="14" t="n"/>
      <c r="I388" s="14" t="n"/>
      <c r="J388" s="14" t="n"/>
    </row>
    <row r="389">
      <c r="A389" s="14" t="n"/>
      <c r="B389" s="14" t="n"/>
      <c r="C389" s="14" t="n"/>
      <c r="D389" s="14" t="n"/>
      <c r="E389" s="14" t="n"/>
      <c r="F389" s="14" t="n"/>
      <c r="G389" s="14" t="n"/>
      <c r="H389" s="14" t="n"/>
      <c r="I389" s="14" t="n"/>
      <c r="J389" s="14" t="n"/>
    </row>
    <row r="390">
      <c r="A390" s="14" t="n"/>
      <c r="B390" s="14" t="n"/>
      <c r="C390" s="14" t="n"/>
      <c r="D390" s="14" t="n"/>
      <c r="E390" s="14" t="n"/>
      <c r="F390" s="14" t="n"/>
      <c r="G390" s="14" t="n"/>
      <c r="H390" s="14" t="n"/>
      <c r="I390" s="14" t="n"/>
      <c r="J390" s="14" t="n"/>
    </row>
    <row r="391">
      <c r="A391" s="14" t="n"/>
      <c r="B391" s="14" t="n"/>
      <c r="C391" s="14" t="n"/>
      <c r="D391" s="14" t="n"/>
      <c r="E391" s="14" t="n"/>
      <c r="F391" s="14" t="n"/>
      <c r="G391" s="14" t="n"/>
      <c r="H391" s="14" t="n"/>
      <c r="I391" s="14" t="n"/>
      <c r="J391" s="14" t="n"/>
    </row>
    <row r="392">
      <c r="A392" s="14" t="n"/>
      <c r="B392" s="14" t="n"/>
      <c r="C392" s="14" t="n"/>
      <c r="D392" s="14" t="n"/>
      <c r="E392" s="14" t="n"/>
      <c r="F392" s="14" t="n"/>
      <c r="G392" s="14" t="n"/>
      <c r="H392" s="14" t="n"/>
      <c r="I392" s="14" t="n"/>
      <c r="J392" s="14" t="n"/>
    </row>
    <row r="393">
      <c r="A393" s="14" t="n"/>
      <c r="B393" s="14" t="n"/>
      <c r="C393" s="14" t="n"/>
      <c r="D393" s="14" t="n"/>
      <c r="E393" s="14" t="n"/>
      <c r="F393" s="14" t="n"/>
      <c r="G393" s="14" t="n"/>
      <c r="H393" s="14" t="n"/>
      <c r="I393" s="14" t="n"/>
      <c r="J393" s="14" t="n"/>
    </row>
    <row r="394">
      <c r="A394" s="14" t="n"/>
      <c r="B394" s="14" t="n"/>
      <c r="C394" s="14" t="n"/>
      <c r="D394" s="14" t="n"/>
      <c r="E394" s="14" t="n"/>
      <c r="F394" s="14" t="n"/>
      <c r="G394" s="14" t="n"/>
      <c r="H394" s="14" t="n"/>
      <c r="I394" s="14" t="n"/>
      <c r="J394" s="14" t="n"/>
    </row>
    <row r="395">
      <c r="A395" s="14" t="n"/>
      <c r="B395" s="14" t="n"/>
      <c r="C395" s="14" t="n"/>
      <c r="D395" s="14" t="n"/>
      <c r="E395" s="14" t="n"/>
      <c r="F395" s="14" t="n"/>
      <c r="G395" s="14" t="n"/>
      <c r="H395" s="14" t="n"/>
      <c r="I395" s="14" t="n"/>
      <c r="J395" s="14" t="n"/>
    </row>
    <row r="396">
      <c r="A396" s="14" t="n"/>
      <c r="B396" s="14" t="n"/>
      <c r="C396" s="14" t="n"/>
      <c r="D396" s="14" t="n"/>
      <c r="E396" s="14" t="n"/>
      <c r="F396" s="14" t="n"/>
      <c r="G396" s="14" t="n"/>
      <c r="H396" s="14" t="n"/>
      <c r="I396" s="14" t="n"/>
      <c r="J396" s="14" t="n"/>
    </row>
    <row r="397">
      <c r="A397" s="14" t="n"/>
      <c r="B397" s="14" t="n"/>
      <c r="C397" s="14" t="n"/>
      <c r="D397" s="14" t="n"/>
      <c r="E397" s="14" t="n"/>
      <c r="F397" s="14" t="n"/>
      <c r="G397" s="14" t="n"/>
      <c r="H397" s="14" t="n"/>
      <c r="I397" s="14" t="n"/>
      <c r="J397" s="14" t="n"/>
    </row>
    <row r="398">
      <c r="A398" s="14" t="n"/>
      <c r="B398" s="14" t="n"/>
      <c r="C398" s="14" t="n"/>
      <c r="D398" s="14" t="n"/>
      <c r="E398" s="14" t="n"/>
      <c r="F398" s="14" t="n"/>
      <c r="G398" s="14" t="n"/>
      <c r="H398" s="14" t="n"/>
      <c r="I398" s="14" t="n"/>
      <c r="J398" s="14" t="n"/>
    </row>
    <row r="399">
      <c r="A399" s="14" t="n"/>
      <c r="B399" s="14" t="n"/>
      <c r="C399" s="14" t="n"/>
      <c r="D399" s="14" t="n"/>
      <c r="E399" s="14" t="n"/>
      <c r="F399" s="14" t="n"/>
      <c r="G399" s="14" t="n"/>
      <c r="H399" s="14" t="n"/>
      <c r="I399" s="14" t="n"/>
      <c r="J399" s="14" t="n"/>
    </row>
    <row r="400">
      <c r="A400" s="14" t="n"/>
      <c r="B400" s="14" t="n"/>
      <c r="C400" s="14" t="n"/>
      <c r="D400" s="14" t="n"/>
      <c r="E400" s="14" t="n"/>
      <c r="F400" s="14" t="n"/>
      <c r="G400" s="14" t="n"/>
      <c r="H400" s="14" t="n"/>
      <c r="I400" s="14" t="n"/>
      <c r="J400" s="14" t="n"/>
    </row>
    <row r="401">
      <c r="A401" s="14" t="n"/>
      <c r="B401" s="14" t="n"/>
      <c r="C401" s="14" t="n"/>
      <c r="D401" s="14" t="n"/>
      <c r="E401" s="14" t="n"/>
      <c r="F401" s="14" t="n"/>
      <c r="G401" s="14" t="n"/>
      <c r="H401" s="14" t="n"/>
      <c r="I401" s="14" t="n"/>
      <c r="J401" s="14" t="n"/>
    </row>
    <row r="402">
      <c r="A402" s="14" t="n"/>
      <c r="B402" s="14" t="n"/>
      <c r="C402" s="14" t="n"/>
      <c r="D402" s="14" t="n"/>
      <c r="E402" s="14" t="n"/>
      <c r="F402" s="14" t="n"/>
      <c r="G402" s="14" t="n"/>
      <c r="H402" s="14" t="n"/>
      <c r="I402" s="14" t="n"/>
      <c r="J402" s="14" t="n"/>
    </row>
    <row r="403">
      <c r="A403" s="14" t="n"/>
      <c r="B403" s="14" t="n"/>
      <c r="C403" s="14" t="n"/>
      <c r="D403" s="14" t="n"/>
      <c r="E403" s="14" t="n"/>
      <c r="F403" s="14" t="n"/>
      <c r="G403" s="14" t="n"/>
      <c r="H403" s="14" t="n"/>
      <c r="I403" s="14" t="n"/>
      <c r="J403" s="14" t="n"/>
    </row>
    <row r="404">
      <c r="A404" s="14" t="n"/>
      <c r="B404" s="14" t="n"/>
      <c r="C404" s="14" t="n"/>
      <c r="D404" s="14" t="n"/>
      <c r="E404" s="14" t="n"/>
      <c r="F404" s="14" t="n"/>
      <c r="G404" s="14" t="n"/>
      <c r="H404" s="14" t="n"/>
      <c r="I404" s="14" t="n"/>
      <c r="J404" s="14" t="n"/>
    </row>
    <row r="405">
      <c r="A405" s="14" t="n"/>
      <c r="B405" s="14" t="n"/>
      <c r="C405" s="14" t="n"/>
      <c r="D405" s="14" t="n"/>
      <c r="E405" s="14" t="n"/>
      <c r="F405" s="14" t="n"/>
      <c r="G405" s="14" t="n"/>
      <c r="H405" s="14" t="n"/>
      <c r="I405" s="14" t="n"/>
      <c r="J405" s="14" t="n"/>
    </row>
    <row r="406">
      <c r="A406" s="14" t="n"/>
      <c r="B406" s="14" t="n"/>
      <c r="C406" s="14" t="n"/>
      <c r="D406" s="14" t="n"/>
      <c r="E406" s="14" t="n"/>
      <c r="F406" s="14" t="n"/>
      <c r="G406" s="14" t="n"/>
      <c r="H406" s="14" t="n"/>
      <c r="I406" s="14" t="n"/>
      <c r="J406" s="14" t="n"/>
    </row>
    <row r="407">
      <c r="A407" s="14" t="n"/>
      <c r="B407" s="14" t="n"/>
      <c r="C407" s="14" t="n"/>
      <c r="D407" s="14" t="n"/>
      <c r="E407" s="14" t="n"/>
      <c r="F407" s="14" t="n"/>
      <c r="G407" s="14" t="n"/>
      <c r="H407" s="14" t="n"/>
      <c r="I407" s="14" t="n"/>
      <c r="J407" s="14" t="n"/>
    </row>
    <row r="408">
      <c r="A408" s="14" t="n"/>
      <c r="B408" s="14" t="n"/>
      <c r="C408" s="14" t="n"/>
      <c r="D408" s="14" t="n"/>
      <c r="E408" s="14" t="n"/>
      <c r="F408" s="14" t="n"/>
      <c r="G408" s="14" t="n"/>
      <c r="H408" s="14" t="n"/>
      <c r="I408" s="14" t="n"/>
      <c r="J408" s="14" t="n"/>
    </row>
    <row r="409">
      <c r="A409" s="14" t="n"/>
      <c r="B409" s="14" t="n"/>
      <c r="C409" s="14" t="n"/>
      <c r="D409" s="14" t="n"/>
      <c r="E409" s="14" t="n"/>
      <c r="F409" s="14" t="n"/>
      <c r="G409" s="14" t="n"/>
      <c r="H409" s="14" t="n"/>
      <c r="I409" s="14" t="n"/>
      <c r="J409" s="14" t="n"/>
    </row>
    <row r="410">
      <c r="A410" s="14" t="n"/>
      <c r="B410" s="14" t="n"/>
      <c r="C410" s="14" t="n"/>
      <c r="D410" s="14" t="n"/>
      <c r="E410" s="14" t="n"/>
      <c r="F410" s="14" t="n"/>
      <c r="G410" s="14" t="n"/>
      <c r="H410" s="14" t="n"/>
      <c r="I410" s="14" t="n"/>
      <c r="J410" s="14" t="n"/>
    </row>
    <row r="411">
      <c r="A411" s="14" t="n"/>
      <c r="B411" s="14" t="n"/>
      <c r="C411" s="14" t="n"/>
      <c r="D411" s="14" t="n"/>
      <c r="E411" s="14" t="n"/>
      <c r="F411" s="14" t="n"/>
      <c r="G411" s="14" t="n"/>
      <c r="H411" s="14" t="n"/>
      <c r="I411" s="14" t="n"/>
      <c r="J411" s="14" t="n"/>
    </row>
    <row r="412">
      <c r="A412" s="14" t="n"/>
      <c r="B412" s="14" t="n"/>
      <c r="C412" s="14" t="n"/>
      <c r="D412" s="14" t="n"/>
      <c r="E412" s="14" t="n"/>
      <c r="F412" s="14" t="n"/>
      <c r="G412" s="14" t="n"/>
      <c r="H412" s="14" t="n"/>
      <c r="I412" s="14" t="n"/>
      <c r="J412" s="14" t="n"/>
    </row>
    <row r="413">
      <c r="A413" s="14" t="n"/>
      <c r="B413" s="14" t="n"/>
      <c r="C413" s="14" t="n"/>
      <c r="D413" s="14" t="n"/>
      <c r="E413" s="14" t="n"/>
      <c r="F413" s="14" t="n"/>
      <c r="G413" s="14" t="n"/>
      <c r="H413" s="14" t="n"/>
      <c r="I413" s="14" t="n"/>
      <c r="J413" s="14" t="n"/>
    </row>
    <row r="414">
      <c r="A414" s="14" t="n"/>
      <c r="B414" s="14" t="n"/>
      <c r="C414" s="14" t="n"/>
      <c r="D414" s="14" t="n"/>
      <c r="E414" s="14" t="n"/>
      <c r="F414" s="14" t="n"/>
      <c r="G414" s="14" t="n"/>
      <c r="H414" s="14" t="n"/>
      <c r="I414" s="14" t="n"/>
      <c r="J414" s="14" t="n"/>
    </row>
    <row r="415">
      <c r="A415" s="14" t="n"/>
      <c r="B415" s="14" t="n"/>
      <c r="C415" s="14" t="n"/>
      <c r="D415" s="14" t="n"/>
      <c r="E415" s="14" t="n"/>
      <c r="F415" s="14" t="n"/>
      <c r="G415" s="14" t="n"/>
      <c r="H415" s="14" t="n"/>
      <c r="I415" s="14" t="n"/>
      <c r="J415" s="14" t="n"/>
    </row>
    <row r="416">
      <c r="A416" s="14" t="n"/>
      <c r="B416" s="14" t="n"/>
      <c r="C416" s="14" t="n"/>
      <c r="D416" s="14" t="n"/>
      <c r="E416" s="14" t="n"/>
      <c r="F416" s="14" t="n"/>
      <c r="G416" s="14" t="n"/>
      <c r="H416" s="14" t="n"/>
      <c r="I416" s="14" t="n"/>
      <c r="J416" s="14" t="n"/>
    </row>
    <row r="417">
      <c r="A417" s="14" t="n"/>
      <c r="B417" s="14" t="n"/>
      <c r="C417" s="14" t="n"/>
      <c r="D417" s="14" t="n"/>
      <c r="E417" s="14" t="n"/>
      <c r="F417" s="14" t="n"/>
      <c r="G417" s="14" t="n"/>
      <c r="H417" s="14" t="n"/>
      <c r="I417" s="14" t="n"/>
      <c r="J417" s="14" t="n"/>
    </row>
    <row r="418">
      <c r="A418" s="14" t="n"/>
      <c r="B418" s="14" t="n"/>
      <c r="C418" s="14" t="n"/>
      <c r="D418" s="14" t="n"/>
      <c r="E418" s="14" t="n"/>
      <c r="F418" s="14" t="n"/>
      <c r="G418" s="14" t="n"/>
      <c r="H418" s="14" t="n"/>
      <c r="I418" s="14" t="n"/>
      <c r="J418" s="14" t="n"/>
    </row>
    <row r="419">
      <c r="A419" s="14" t="n"/>
      <c r="B419" s="14" t="n"/>
      <c r="C419" s="14" t="n"/>
      <c r="D419" s="14" t="n"/>
      <c r="E419" s="14" t="n"/>
      <c r="F419" s="14" t="n"/>
      <c r="G419" s="14" t="n"/>
      <c r="H419" s="14" t="n"/>
      <c r="I419" s="14" t="n"/>
      <c r="J419" s="14" t="n"/>
    </row>
    <row r="420">
      <c r="A420" s="14" t="n"/>
      <c r="B420" s="14" t="n"/>
      <c r="C420" s="14" t="n"/>
      <c r="D420" s="14" t="n"/>
      <c r="E420" s="14" t="n"/>
      <c r="F420" s="14" t="n"/>
      <c r="G420" s="14" t="n"/>
      <c r="H420" s="14" t="n"/>
      <c r="I420" s="14" t="n"/>
      <c r="J420" s="14" t="n"/>
    </row>
    <row r="421">
      <c r="A421" s="14" t="n"/>
      <c r="B421" s="14" t="n"/>
      <c r="C421" s="14" t="n"/>
      <c r="D421" s="14" t="n"/>
      <c r="E421" s="14" t="n"/>
      <c r="F421" s="14" t="n"/>
      <c r="G421" s="14" t="n"/>
      <c r="H421" s="14" t="n"/>
      <c r="I421" s="14" t="n"/>
      <c r="J421" s="14" t="n"/>
    </row>
    <row r="422">
      <c r="A422" s="14" t="n"/>
      <c r="B422" s="14" t="n"/>
      <c r="C422" s="14" t="n"/>
      <c r="D422" s="14" t="n"/>
      <c r="E422" s="14" t="n"/>
      <c r="F422" s="14" t="n"/>
      <c r="G422" s="14" t="n"/>
      <c r="H422" s="14" t="n"/>
      <c r="I422" s="14" t="n"/>
      <c r="J422" s="14" t="n"/>
    </row>
    <row r="423">
      <c r="A423" s="14" t="n"/>
      <c r="B423" s="14" t="n"/>
      <c r="C423" s="14" t="n"/>
      <c r="D423" s="14" t="n"/>
      <c r="E423" s="14" t="n"/>
      <c r="F423" s="14" t="n"/>
      <c r="G423" s="14" t="n"/>
      <c r="H423" s="14" t="n"/>
      <c r="I423" s="14" t="n"/>
      <c r="J423" s="14" t="n"/>
    </row>
    <row r="424">
      <c r="A424" s="14" t="n"/>
      <c r="B424" s="14" t="n"/>
      <c r="C424" s="14" t="n"/>
      <c r="D424" s="14" t="n"/>
      <c r="E424" s="14" t="n"/>
      <c r="F424" s="14" t="n"/>
      <c r="G424" s="14" t="n"/>
      <c r="H424" s="14" t="n"/>
      <c r="I424" s="14" t="n"/>
      <c r="J424" s="14" t="n"/>
    </row>
    <row r="425">
      <c r="A425" s="14" t="n"/>
      <c r="B425" s="14" t="n"/>
      <c r="C425" s="14" t="n"/>
      <c r="D425" s="14" t="n"/>
      <c r="E425" s="14" t="n"/>
      <c r="F425" s="14" t="n"/>
      <c r="G425" s="14" t="n"/>
      <c r="H425" s="14" t="n"/>
      <c r="I425" s="14" t="n"/>
      <c r="J425" s="14" t="n"/>
    </row>
    <row r="426">
      <c r="A426" s="14" t="n"/>
      <c r="B426" s="14" t="n"/>
      <c r="C426" s="14" t="n"/>
      <c r="D426" s="14" t="n"/>
      <c r="E426" s="14" t="n"/>
      <c r="F426" s="14" t="n"/>
      <c r="G426" s="14" t="n"/>
      <c r="H426" s="14" t="n"/>
      <c r="I426" s="14" t="n"/>
      <c r="J426" s="14" t="n"/>
    </row>
    <row r="427">
      <c r="A427" s="14" t="n"/>
      <c r="B427" s="14" t="n"/>
      <c r="C427" s="14" t="n"/>
      <c r="D427" s="14" t="n"/>
      <c r="E427" s="14" t="n"/>
      <c r="F427" s="14" t="n"/>
      <c r="G427" s="14" t="n"/>
      <c r="H427" s="14" t="n"/>
      <c r="I427" s="14" t="n"/>
      <c r="J427" s="14" t="n"/>
    </row>
    <row r="428">
      <c r="A428" s="14" t="n"/>
      <c r="B428" s="14" t="n"/>
      <c r="C428" s="14" t="n"/>
      <c r="D428" s="14" t="n"/>
      <c r="E428" s="14" t="n"/>
      <c r="F428" s="14" t="n"/>
      <c r="G428" s="14" t="n"/>
      <c r="H428" s="14" t="n"/>
      <c r="I428" s="14" t="n"/>
      <c r="J428" s="14" t="n"/>
    </row>
    <row r="429">
      <c r="A429" s="14" t="n"/>
      <c r="B429" s="14" t="n"/>
      <c r="C429" s="14" t="n"/>
      <c r="D429" s="14" t="n"/>
      <c r="E429" s="14" t="n"/>
      <c r="F429" s="14" t="n"/>
      <c r="G429" s="14" t="n"/>
      <c r="H429" s="14" t="n"/>
      <c r="I429" s="14" t="n"/>
      <c r="J429" s="14" t="n"/>
    </row>
    <row r="430">
      <c r="A430" s="14" t="n"/>
      <c r="B430" s="14" t="n"/>
      <c r="C430" s="14" t="n"/>
      <c r="D430" s="14" t="n"/>
      <c r="E430" s="14" t="n"/>
      <c r="F430" s="14" t="n"/>
      <c r="G430" s="14" t="n"/>
      <c r="H430" s="14" t="n"/>
      <c r="I430" s="14" t="n"/>
      <c r="J430" s="14" t="n"/>
    </row>
    <row r="431">
      <c r="A431" s="14" t="n"/>
      <c r="B431" s="14" t="n"/>
      <c r="C431" s="14" t="n"/>
      <c r="D431" s="14" t="n"/>
      <c r="E431" s="14" t="n"/>
      <c r="F431" s="14" t="n"/>
      <c r="G431" s="14" t="n"/>
      <c r="H431" s="14" t="n"/>
      <c r="I431" s="14" t="n"/>
      <c r="J431" s="14" t="n"/>
    </row>
    <row r="432">
      <c r="A432" s="14" t="n"/>
      <c r="B432" s="14" t="n"/>
      <c r="C432" s="14" t="n"/>
      <c r="D432" s="14" t="n"/>
      <c r="E432" s="14" t="n"/>
      <c r="F432" s="14" t="n"/>
      <c r="G432" s="14" t="n"/>
      <c r="H432" s="14" t="n"/>
      <c r="I432" s="14" t="n"/>
      <c r="J432" s="14" t="n"/>
    </row>
    <row r="433">
      <c r="A433" s="14" t="n"/>
      <c r="B433" s="14" t="n"/>
      <c r="C433" s="14" t="n"/>
      <c r="D433" s="14" t="n"/>
      <c r="E433" s="14" t="n"/>
      <c r="F433" s="14" t="n"/>
      <c r="G433" s="14" t="n"/>
      <c r="H433" s="14" t="n"/>
      <c r="I433" s="14" t="n"/>
      <c r="J433" s="14" t="n"/>
    </row>
    <row r="434">
      <c r="A434" s="14" t="n"/>
      <c r="B434" s="14" t="n"/>
      <c r="C434" s="14" t="n"/>
      <c r="D434" s="14" t="n"/>
      <c r="E434" s="14" t="n"/>
      <c r="F434" s="14" t="n"/>
      <c r="G434" s="14" t="n"/>
      <c r="H434" s="14" t="n"/>
      <c r="I434" s="14" t="n"/>
      <c r="J434" s="14" t="n"/>
    </row>
    <row r="435">
      <c r="A435" s="14" t="n"/>
      <c r="B435" s="14" t="n"/>
      <c r="C435" s="14" t="n"/>
      <c r="D435" s="14" t="n"/>
      <c r="E435" s="14" t="n"/>
      <c r="F435" s="14" t="n"/>
      <c r="G435" s="14" t="n"/>
      <c r="H435" s="14" t="n"/>
      <c r="I435" s="14" t="n"/>
      <c r="J435" s="14" t="n"/>
    </row>
    <row r="436">
      <c r="A436" s="14" t="n"/>
      <c r="B436" s="14" t="n"/>
      <c r="C436" s="14" t="n"/>
      <c r="D436" s="14" t="n"/>
      <c r="E436" s="14" t="n"/>
      <c r="F436" s="14" t="n"/>
      <c r="G436" s="14" t="n"/>
      <c r="H436" s="14" t="n"/>
      <c r="I436" s="14" t="n"/>
      <c r="J436" s="14" t="n"/>
    </row>
    <row r="437">
      <c r="A437" s="14" t="n"/>
      <c r="B437" s="14" t="n"/>
      <c r="C437" s="14" t="n"/>
      <c r="D437" s="14" t="n"/>
      <c r="E437" s="14" t="n"/>
      <c r="F437" s="14" t="n"/>
      <c r="G437" s="14" t="n"/>
      <c r="H437" s="14" t="n"/>
      <c r="I437" s="14" t="n"/>
      <c r="J437" s="14" t="n"/>
    </row>
    <row r="438">
      <c r="A438" s="14" t="n"/>
      <c r="B438" s="14" t="n"/>
      <c r="C438" s="14" t="n"/>
      <c r="D438" s="14" t="n"/>
      <c r="E438" s="14" t="n"/>
      <c r="F438" s="14" t="n"/>
      <c r="G438" s="14" t="n"/>
      <c r="H438" s="14" t="n"/>
      <c r="I438" s="14" t="n"/>
      <c r="J438" s="14" t="n"/>
    </row>
    <row r="439">
      <c r="A439" s="14" t="n"/>
      <c r="B439" s="14" t="n"/>
      <c r="C439" s="14" t="n"/>
      <c r="D439" s="14" t="n"/>
      <c r="E439" s="14" t="n"/>
      <c r="F439" s="14" t="n"/>
      <c r="G439" s="14" t="n"/>
      <c r="H439" s="14" t="n"/>
      <c r="I439" s="14" t="n"/>
      <c r="J439" s="14" t="n"/>
    </row>
    <row r="440">
      <c r="A440" s="14" t="n"/>
      <c r="B440" s="14" t="n"/>
      <c r="C440" s="14" t="n"/>
      <c r="D440" s="14" t="n"/>
      <c r="E440" s="14" t="n"/>
      <c r="F440" s="14" t="n"/>
      <c r="G440" s="14" t="n"/>
      <c r="H440" s="14" t="n"/>
      <c r="I440" s="14" t="n"/>
      <c r="J440" s="14" t="n"/>
    </row>
    <row r="441">
      <c r="A441" s="14" t="n"/>
      <c r="B441" s="14" t="n"/>
      <c r="C441" s="14" t="n"/>
      <c r="D441" s="14" t="n"/>
      <c r="E441" s="14" t="n"/>
      <c r="F441" s="14" t="n"/>
      <c r="G441" s="14" t="n"/>
      <c r="H441" s="14" t="n"/>
      <c r="I441" s="14" t="n"/>
      <c r="J441" s="14" t="n"/>
    </row>
    <row r="442">
      <c r="A442" s="14" t="n"/>
      <c r="B442" s="14" t="n"/>
      <c r="C442" s="14" t="n"/>
      <c r="D442" s="14" t="n"/>
      <c r="E442" s="14" t="n"/>
      <c r="F442" s="14" t="n"/>
      <c r="G442" s="14" t="n"/>
      <c r="H442" s="14" t="n"/>
      <c r="I442" s="14" t="n"/>
      <c r="J442" s="14" t="n"/>
    </row>
    <row r="443">
      <c r="A443" s="14" t="n"/>
      <c r="B443" s="14" t="n"/>
      <c r="C443" s="14" t="n"/>
      <c r="D443" s="14" t="n"/>
      <c r="E443" s="14" t="n"/>
      <c r="F443" s="14" t="n"/>
      <c r="G443" s="14" t="n"/>
      <c r="H443" s="14" t="n"/>
      <c r="I443" s="14" t="n"/>
      <c r="J443" s="14" t="n"/>
    </row>
    <row r="444">
      <c r="A444" s="14" t="n"/>
      <c r="B444" s="14" t="n"/>
      <c r="C444" s="14" t="n"/>
      <c r="D444" s="14" t="n"/>
      <c r="E444" s="14" t="n"/>
      <c r="F444" s="14" t="n"/>
      <c r="G444" s="14" t="n"/>
      <c r="H444" s="14" t="n"/>
      <c r="I444" s="14" t="n"/>
      <c r="J444" s="14" t="n"/>
    </row>
    <row r="445">
      <c r="A445" s="14" t="n"/>
      <c r="B445" s="14" t="n"/>
      <c r="C445" s="14" t="n"/>
      <c r="D445" s="14" t="n"/>
      <c r="E445" s="14" t="n"/>
      <c r="F445" s="14" t="n"/>
      <c r="G445" s="14" t="n"/>
      <c r="H445" s="14" t="n"/>
      <c r="I445" s="14" t="n"/>
      <c r="J445" s="14" t="n"/>
    </row>
    <row r="446">
      <c r="A446" s="14" t="n"/>
      <c r="B446" s="14" t="n"/>
      <c r="C446" s="14" t="n"/>
      <c r="D446" s="14" t="n"/>
      <c r="E446" s="14" t="n"/>
      <c r="F446" s="14" t="n"/>
      <c r="G446" s="14" t="n"/>
      <c r="H446" s="14" t="n"/>
      <c r="I446" s="14" t="n"/>
      <c r="J446" s="14" t="n"/>
    </row>
    <row r="447">
      <c r="A447" s="14" t="n"/>
      <c r="B447" s="14" t="n"/>
      <c r="C447" s="14" t="n"/>
      <c r="D447" s="14" t="n"/>
      <c r="E447" s="14" t="n"/>
      <c r="F447" s="14" t="n"/>
      <c r="G447" s="14" t="n"/>
      <c r="H447" s="14" t="n"/>
      <c r="I447" s="14" t="n"/>
      <c r="J447" s="14" t="n"/>
    </row>
    <row r="448">
      <c r="A448" s="14" t="n"/>
      <c r="B448" s="14" t="n"/>
      <c r="C448" s="14" t="n"/>
      <c r="D448" s="14" t="n"/>
      <c r="E448" s="14" t="n"/>
      <c r="F448" s="14" t="n"/>
      <c r="G448" s="14" t="n"/>
      <c r="H448" s="14" t="n"/>
      <c r="I448" s="14" t="n"/>
      <c r="J448" s="14" t="n"/>
    </row>
    <row r="449">
      <c r="A449" s="14" t="n"/>
      <c r="B449" s="14" t="n"/>
      <c r="C449" s="14" t="n"/>
      <c r="D449" s="14" t="n"/>
      <c r="E449" s="14" t="n"/>
      <c r="F449" s="14" t="n"/>
      <c r="G449" s="14" t="n"/>
      <c r="H449" s="14" t="n"/>
      <c r="I449" s="14" t="n"/>
      <c r="J449" s="14" t="n"/>
    </row>
    <row r="450">
      <c r="A450" s="14" t="n"/>
      <c r="B450" s="14" t="n"/>
      <c r="C450" s="14" t="n"/>
      <c r="D450" s="14" t="n"/>
      <c r="E450" s="14" t="n"/>
      <c r="F450" s="14" t="n"/>
      <c r="G450" s="14" t="n"/>
      <c r="H450" s="14" t="n"/>
      <c r="I450" s="14" t="n"/>
      <c r="J450" s="14" t="n"/>
    </row>
    <row r="451">
      <c r="A451" s="14" t="n"/>
      <c r="B451" s="14" t="n"/>
      <c r="C451" s="14" t="n"/>
      <c r="D451" s="14" t="n"/>
      <c r="E451" s="14" t="n"/>
      <c r="F451" s="14" t="n"/>
      <c r="G451" s="14" t="n"/>
      <c r="H451" s="14" t="n"/>
      <c r="I451" s="14" t="n"/>
      <c r="J451" s="14" t="n"/>
    </row>
    <row r="452">
      <c r="A452" s="14" t="n"/>
      <c r="B452" s="14" t="n"/>
      <c r="C452" s="14" t="n"/>
      <c r="D452" s="14" t="n"/>
      <c r="E452" s="14" t="n"/>
      <c r="F452" s="14" t="n"/>
      <c r="G452" s="14" t="n"/>
      <c r="H452" s="14" t="n"/>
      <c r="I452" s="14" t="n"/>
      <c r="J452" s="14" t="n"/>
    </row>
    <row r="453">
      <c r="A453" s="14" t="n"/>
      <c r="B453" s="14" t="n"/>
      <c r="C453" s="14" t="n"/>
      <c r="D453" s="14" t="n"/>
      <c r="E453" s="14" t="n"/>
      <c r="F453" s="14" t="n"/>
      <c r="G453" s="14" t="n"/>
      <c r="H453" s="14" t="n"/>
      <c r="I453" s="14" t="n"/>
      <c r="J453" s="14" t="n"/>
    </row>
    <row r="454">
      <c r="A454" s="14" t="n"/>
      <c r="B454" s="14" t="n"/>
      <c r="C454" s="14" t="n"/>
      <c r="D454" s="14" t="n"/>
      <c r="E454" s="14" t="n"/>
      <c r="F454" s="14" t="n"/>
      <c r="G454" s="14" t="n"/>
      <c r="H454" s="14" t="n"/>
      <c r="I454" s="14" t="n"/>
      <c r="J454" s="14" t="n"/>
    </row>
    <row r="455">
      <c r="A455" s="14" t="n"/>
      <c r="B455" s="14" t="n"/>
      <c r="C455" s="14" t="n"/>
      <c r="D455" s="14" t="n"/>
      <c r="E455" s="14" t="n"/>
      <c r="F455" s="14" t="n"/>
      <c r="G455" s="14" t="n"/>
      <c r="H455" s="14" t="n"/>
      <c r="I455" s="14" t="n"/>
      <c r="J455" s="14" t="n"/>
    </row>
    <row r="456">
      <c r="A456" s="14" t="n"/>
      <c r="B456" s="14" t="n"/>
      <c r="C456" s="14" t="n"/>
      <c r="D456" s="14" t="n"/>
      <c r="E456" s="14" t="n"/>
      <c r="F456" s="14" t="n"/>
      <c r="G456" s="14" t="n"/>
      <c r="H456" s="14" t="n"/>
      <c r="I456" s="14" t="n"/>
      <c r="J456" s="14" t="n"/>
    </row>
    <row r="457">
      <c r="A457" s="14" t="n"/>
      <c r="B457" s="14" t="n"/>
      <c r="C457" s="14" t="n"/>
      <c r="D457" s="14" t="n"/>
      <c r="E457" s="14" t="n"/>
      <c r="F457" s="14" t="n"/>
      <c r="G457" s="14" t="n"/>
      <c r="H457" s="14" t="n"/>
      <c r="I457" s="14" t="n"/>
      <c r="J457" s="14" t="n"/>
    </row>
    <row r="458">
      <c r="A458" s="14" t="n"/>
      <c r="B458" s="14" t="n"/>
      <c r="C458" s="14" t="n"/>
      <c r="D458" s="14" t="n"/>
      <c r="E458" s="14" t="n"/>
      <c r="F458" s="14" t="n"/>
      <c r="G458" s="14" t="n"/>
      <c r="H458" s="14" t="n"/>
      <c r="I458" s="14" t="n"/>
      <c r="J458" s="14" t="n"/>
    </row>
    <row r="459">
      <c r="A459" s="14" t="n"/>
      <c r="B459" s="14" t="n"/>
      <c r="C459" s="14" t="n"/>
      <c r="D459" s="14" t="n"/>
      <c r="E459" s="14" t="n"/>
      <c r="F459" s="14" t="n"/>
      <c r="G459" s="14" t="n"/>
      <c r="H459" s="14" t="n"/>
      <c r="I459" s="14" t="n"/>
      <c r="J459" s="14" t="n"/>
    </row>
    <row r="460">
      <c r="A460" s="14" t="n"/>
      <c r="B460" s="14" t="n"/>
      <c r="C460" s="14" t="n"/>
      <c r="D460" s="14" t="n"/>
      <c r="E460" s="14" t="n"/>
      <c r="F460" s="14" t="n"/>
      <c r="G460" s="14" t="n"/>
      <c r="H460" s="14" t="n"/>
      <c r="I460" s="14" t="n"/>
      <c r="J460" s="14" t="n"/>
    </row>
    <row r="461">
      <c r="A461" s="14" t="n"/>
      <c r="B461" s="14" t="n"/>
      <c r="C461" s="14" t="n"/>
      <c r="D461" s="14" t="n"/>
      <c r="E461" s="14" t="n"/>
      <c r="F461" s="14" t="n"/>
      <c r="G461" s="14" t="n"/>
      <c r="H461" s="14" t="n"/>
      <c r="I461" s="14" t="n"/>
      <c r="J461" s="14" t="n"/>
    </row>
    <row r="462">
      <c r="A462" s="14" t="n"/>
      <c r="B462" s="14" t="n"/>
      <c r="C462" s="14" t="n"/>
      <c r="D462" s="14" t="n"/>
      <c r="E462" s="14" t="n"/>
      <c r="F462" s="14" t="n"/>
      <c r="G462" s="14" t="n"/>
      <c r="H462" s="14" t="n"/>
      <c r="I462" s="14" t="n"/>
      <c r="J462" s="14" t="n"/>
    </row>
    <row r="463">
      <c r="A463" s="14" t="n"/>
      <c r="B463" s="14" t="n"/>
      <c r="C463" s="14" t="n"/>
      <c r="D463" s="14" t="n"/>
      <c r="E463" s="14" t="n"/>
      <c r="F463" s="14" t="n"/>
      <c r="G463" s="14" t="n"/>
      <c r="H463" s="14" t="n"/>
      <c r="I463" s="14" t="n"/>
      <c r="J463" s="14" t="n"/>
    </row>
    <row r="464">
      <c r="A464" s="14" t="n"/>
      <c r="B464" s="14" t="n"/>
      <c r="C464" s="14" t="n"/>
      <c r="D464" s="14" t="n"/>
      <c r="E464" s="14" t="n"/>
      <c r="F464" s="14" t="n"/>
      <c r="G464" s="14" t="n"/>
      <c r="H464" s="14" t="n"/>
      <c r="I464" s="14" t="n"/>
      <c r="J464" s="14" t="n"/>
    </row>
    <row r="465">
      <c r="A465" s="14" t="n"/>
      <c r="B465" s="14" t="n"/>
      <c r="C465" s="14" t="n"/>
      <c r="D465" s="14" t="n"/>
      <c r="E465" s="14" t="n"/>
      <c r="F465" s="14" t="n"/>
      <c r="G465" s="14" t="n"/>
      <c r="H465" s="14" t="n"/>
      <c r="I465" s="14" t="n"/>
      <c r="J465" s="14" t="n"/>
    </row>
    <row r="466">
      <c r="A466" s="14" t="n"/>
      <c r="B466" s="14" t="n"/>
      <c r="C466" s="14" t="n"/>
      <c r="D466" s="14" t="n"/>
      <c r="E466" s="14" t="n"/>
      <c r="F466" s="14" t="n"/>
      <c r="G466" s="14" t="n"/>
      <c r="H466" s="14" t="n"/>
      <c r="I466" s="14" t="n"/>
      <c r="J466" s="14" t="n"/>
    </row>
    <row r="467">
      <c r="A467" s="14" t="n"/>
      <c r="B467" s="14" t="n"/>
      <c r="C467" s="14" t="n"/>
      <c r="D467" s="14" t="n"/>
      <c r="E467" s="14" t="n"/>
      <c r="F467" s="14" t="n"/>
      <c r="G467" s="14" t="n"/>
      <c r="H467" s="14" t="n"/>
      <c r="I467" s="14" t="n"/>
      <c r="J467" s="14" t="n"/>
    </row>
    <row r="468">
      <c r="A468" s="14" t="n"/>
      <c r="B468" s="14" t="n"/>
      <c r="C468" s="14" t="n"/>
      <c r="D468" s="14" t="n"/>
      <c r="E468" s="14" t="n"/>
      <c r="F468" s="14" t="n"/>
      <c r="G468" s="14" t="n"/>
      <c r="H468" s="14" t="n"/>
      <c r="I468" s="14" t="n"/>
      <c r="J468" s="14" t="n"/>
    </row>
    <row r="469">
      <c r="A469" s="14" t="n"/>
      <c r="B469" s="14" t="n"/>
      <c r="C469" s="14" t="n"/>
      <c r="D469" s="14" t="n"/>
      <c r="E469" s="14" t="n"/>
      <c r="F469" s="14" t="n"/>
      <c r="G469" s="14" t="n"/>
      <c r="H469" s="14" t="n"/>
      <c r="I469" s="14" t="n"/>
      <c r="J469" s="14" t="n"/>
    </row>
    <row r="470">
      <c r="A470" s="14" t="n"/>
      <c r="B470" s="14" t="n"/>
      <c r="C470" s="14" t="n"/>
      <c r="D470" s="14" t="n"/>
      <c r="E470" s="14" t="n"/>
      <c r="F470" s="14" t="n"/>
      <c r="G470" s="14" t="n"/>
      <c r="H470" s="14" t="n"/>
      <c r="I470" s="14" t="n"/>
      <c r="J470" s="14" t="n"/>
    </row>
    <row r="471">
      <c r="A471" s="14" t="n"/>
      <c r="B471" s="14" t="n"/>
      <c r="C471" s="14" t="n"/>
      <c r="D471" s="14" t="n"/>
      <c r="E471" s="14" t="n"/>
      <c r="F471" s="14" t="n"/>
      <c r="G471" s="14" t="n"/>
      <c r="H471" s="14" t="n"/>
      <c r="I471" s="14" t="n"/>
      <c r="J471" s="14" t="n"/>
    </row>
    <row r="472">
      <c r="A472" s="14" t="n"/>
      <c r="B472" s="14" t="n"/>
      <c r="C472" s="14" t="n"/>
      <c r="D472" s="14" t="n"/>
      <c r="E472" s="14" t="n"/>
      <c r="F472" s="14" t="n"/>
      <c r="G472" s="14" t="n"/>
      <c r="H472" s="14" t="n"/>
      <c r="I472" s="14" t="n"/>
      <c r="J472" s="14" t="n"/>
    </row>
    <row r="473">
      <c r="A473" s="14" t="n"/>
      <c r="B473" s="14" t="n"/>
      <c r="C473" s="14" t="n"/>
      <c r="D473" s="14" t="n"/>
      <c r="E473" s="14" t="n"/>
      <c r="F473" s="14" t="n"/>
      <c r="G473" s="14" t="n"/>
      <c r="H473" s="14" t="n"/>
      <c r="I473" s="14" t="n"/>
      <c r="J473" s="14" t="n"/>
    </row>
    <row r="474">
      <c r="A474" s="14" t="n"/>
      <c r="B474" s="14" t="n"/>
      <c r="C474" s="14" t="n"/>
      <c r="D474" s="14" t="n"/>
      <c r="E474" s="14" t="n"/>
      <c r="F474" s="14" t="n"/>
      <c r="G474" s="14" t="n"/>
      <c r="H474" s="14" t="n"/>
      <c r="I474" s="14" t="n"/>
      <c r="J474" s="14" t="n"/>
    </row>
    <row r="475">
      <c r="A475" s="14" t="n"/>
      <c r="B475" s="14" t="n"/>
      <c r="C475" s="14" t="n"/>
      <c r="D475" s="14" t="n"/>
      <c r="E475" s="14" t="n"/>
      <c r="F475" s="14" t="n"/>
      <c r="G475" s="14" t="n"/>
      <c r="H475" s="14" t="n"/>
      <c r="I475" s="14" t="n"/>
      <c r="J475" s="14" t="n"/>
    </row>
    <row r="476">
      <c r="A476" s="14" t="n"/>
      <c r="B476" s="14" t="n"/>
      <c r="C476" s="14" t="n"/>
      <c r="D476" s="14" t="n"/>
      <c r="E476" s="14" t="n"/>
      <c r="F476" s="14" t="n"/>
      <c r="G476" s="14" t="n"/>
      <c r="H476" s="14" t="n"/>
      <c r="I476" s="14" t="n"/>
      <c r="J476" s="14" t="n"/>
    </row>
    <row r="477">
      <c r="A477" s="14" t="n"/>
      <c r="B477" s="14" t="n"/>
      <c r="C477" s="14" t="n"/>
      <c r="D477" s="14" t="n"/>
      <c r="E477" s="14" t="n"/>
      <c r="F477" s="14" t="n"/>
      <c r="G477" s="14" t="n"/>
      <c r="H477" s="14" t="n"/>
      <c r="I477" s="14" t="n"/>
      <c r="J477" s="14" t="n"/>
    </row>
    <row r="478">
      <c r="A478" s="14" t="n"/>
      <c r="B478" s="14" t="n"/>
      <c r="C478" s="14" t="n"/>
      <c r="D478" s="14" t="n"/>
      <c r="E478" s="14" t="n"/>
      <c r="F478" s="14" t="n"/>
      <c r="G478" s="14" t="n"/>
      <c r="H478" s="14" t="n"/>
      <c r="I478" s="14" t="n"/>
      <c r="J478" s="14" t="n"/>
    </row>
    <row r="479">
      <c r="A479" s="14" t="n"/>
      <c r="B479" s="14" t="n"/>
      <c r="C479" s="14" t="n"/>
      <c r="D479" s="14" t="n"/>
      <c r="E479" s="14" t="n"/>
      <c r="F479" s="14" t="n"/>
      <c r="G479" s="14" t="n"/>
      <c r="H479" s="14" t="n"/>
      <c r="I479" s="14" t="n"/>
      <c r="J479" s="14" t="n"/>
    </row>
    <row r="480">
      <c r="A480" s="14" t="n"/>
      <c r="B480" s="14" t="n"/>
      <c r="C480" s="14" t="n"/>
      <c r="D480" s="14" t="n"/>
      <c r="E480" s="14" t="n"/>
      <c r="F480" s="14" t="n"/>
      <c r="G480" s="14" t="n"/>
      <c r="H480" s="14" t="n"/>
      <c r="I480" s="14" t="n"/>
      <c r="J480" s="14" t="n"/>
    </row>
    <row r="481">
      <c r="A481" s="14" t="n"/>
      <c r="B481" s="14" t="n"/>
      <c r="C481" s="14" t="n"/>
      <c r="D481" s="14" t="n"/>
      <c r="E481" s="14" t="n"/>
      <c r="F481" s="14" t="n"/>
      <c r="G481" s="14" t="n"/>
      <c r="H481" s="14" t="n"/>
      <c r="I481" s="14" t="n"/>
      <c r="J481" s="14" t="n"/>
    </row>
    <row r="482">
      <c r="A482" s="14" t="n"/>
      <c r="B482" s="14" t="n"/>
      <c r="C482" s="14" t="n"/>
      <c r="D482" s="14" t="n"/>
      <c r="E482" s="14" t="n"/>
      <c r="F482" s="14" t="n"/>
      <c r="G482" s="14" t="n"/>
      <c r="H482" s="14" t="n"/>
      <c r="I482" s="14" t="n"/>
      <c r="J482" s="14" t="n"/>
    </row>
    <row r="483">
      <c r="A483" s="14" t="n"/>
      <c r="B483" s="14" t="n"/>
      <c r="C483" s="14" t="n"/>
      <c r="D483" s="14" t="n"/>
      <c r="E483" s="14" t="n"/>
      <c r="F483" s="14" t="n"/>
      <c r="G483" s="14" t="n"/>
      <c r="H483" s="14" t="n"/>
      <c r="I483" s="14" t="n"/>
      <c r="J483" s="14" t="n"/>
    </row>
    <row r="484">
      <c r="A484" s="14" t="n"/>
      <c r="B484" s="14" t="n"/>
      <c r="C484" s="14" t="n"/>
      <c r="D484" s="14" t="n"/>
      <c r="E484" s="14" t="n"/>
      <c r="F484" s="14" t="n"/>
      <c r="G484" s="14" t="n"/>
      <c r="H484" s="14" t="n"/>
      <c r="I484" s="14" t="n"/>
      <c r="J484" s="14" t="n"/>
    </row>
    <row r="485">
      <c r="A485" s="14" t="n"/>
      <c r="B485" s="14" t="n"/>
      <c r="C485" s="14" t="n"/>
      <c r="D485" s="14" t="n"/>
      <c r="E485" s="14" t="n"/>
      <c r="F485" s="14" t="n"/>
      <c r="G485" s="14" t="n"/>
      <c r="H485" s="14" t="n"/>
      <c r="I485" s="14" t="n"/>
      <c r="J485" s="14" t="n"/>
    </row>
    <row r="486">
      <c r="A486" s="14" t="n"/>
      <c r="B486" s="14" t="n"/>
      <c r="C486" s="14" t="n"/>
      <c r="D486" s="14" t="n"/>
      <c r="E486" s="14" t="n"/>
      <c r="F486" s="14" t="n"/>
      <c r="G486" s="14" t="n"/>
      <c r="H486" s="14" t="n"/>
      <c r="I486" s="14" t="n"/>
      <c r="J486" s="14" t="n"/>
    </row>
    <row r="487">
      <c r="A487" s="14" t="n"/>
      <c r="B487" s="14" t="n"/>
      <c r="C487" s="14" t="n"/>
      <c r="D487" s="14" t="n"/>
      <c r="E487" s="14" t="n"/>
      <c r="F487" s="14" t="n"/>
      <c r="G487" s="14" t="n"/>
      <c r="H487" s="14" t="n"/>
      <c r="I487" s="14" t="n"/>
      <c r="J487" s="14" t="n"/>
    </row>
    <row r="488">
      <c r="A488" s="14" t="n"/>
      <c r="B488" s="14" t="n"/>
      <c r="C488" s="14" t="n"/>
      <c r="D488" s="14" t="n"/>
      <c r="E488" s="14" t="n"/>
      <c r="F488" s="14" t="n"/>
      <c r="G488" s="14" t="n"/>
      <c r="H488" s="14" t="n"/>
      <c r="I488" s="14" t="n"/>
      <c r="J488" s="14" t="n"/>
    </row>
    <row r="489">
      <c r="A489" s="14" t="n"/>
      <c r="B489" s="14" t="n"/>
      <c r="C489" s="14" t="n"/>
      <c r="D489" s="14" t="n"/>
      <c r="E489" s="14" t="n"/>
      <c r="F489" s="14" t="n"/>
      <c r="G489" s="14" t="n"/>
      <c r="H489" s="14" t="n"/>
      <c r="I489" s="14" t="n"/>
      <c r="J489" s="14" t="n"/>
    </row>
    <row r="490">
      <c r="A490" s="14" t="n"/>
      <c r="B490" s="14" t="n"/>
      <c r="C490" s="14" t="n"/>
      <c r="D490" s="14" t="n"/>
      <c r="E490" s="14" t="n"/>
      <c r="F490" s="14" t="n"/>
      <c r="G490" s="14" t="n"/>
      <c r="H490" s="14" t="n"/>
      <c r="I490" s="14" t="n"/>
      <c r="J490" s="14" t="n"/>
    </row>
    <row r="491">
      <c r="A491" s="14" t="n"/>
      <c r="B491" s="14" t="n"/>
      <c r="C491" s="14" t="n"/>
      <c r="D491" s="14" t="n"/>
      <c r="E491" s="14" t="n"/>
      <c r="F491" s="14" t="n"/>
      <c r="G491" s="14" t="n"/>
      <c r="H491" s="14" t="n"/>
      <c r="I491" s="14" t="n"/>
      <c r="J491" s="14" t="n"/>
    </row>
    <row r="492">
      <c r="A492" s="14" t="n"/>
      <c r="B492" s="14" t="n"/>
      <c r="C492" s="14" t="n"/>
      <c r="D492" s="14" t="n"/>
      <c r="E492" s="14" t="n"/>
      <c r="F492" s="14" t="n"/>
      <c r="G492" s="14" t="n"/>
      <c r="H492" s="14" t="n"/>
      <c r="I492" s="14" t="n"/>
      <c r="J492" s="14" t="n"/>
    </row>
    <row r="493">
      <c r="A493" s="14" t="n"/>
      <c r="B493" s="14" t="n"/>
      <c r="C493" s="14" t="n"/>
      <c r="D493" s="14" t="n"/>
      <c r="E493" s="14" t="n"/>
      <c r="F493" s="14" t="n"/>
      <c r="G493" s="14" t="n"/>
      <c r="H493" s="14" t="n"/>
      <c r="I493" s="14" t="n"/>
      <c r="J493" s="14" t="n"/>
    </row>
    <row r="494">
      <c r="A494" s="14" t="n"/>
      <c r="B494" s="14" t="n"/>
      <c r="C494" s="14" t="n"/>
      <c r="D494" s="14" t="n"/>
      <c r="E494" s="14" t="n"/>
      <c r="F494" s="14" t="n"/>
      <c r="G494" s="14" t="n"/>
      <c r="H494" s="14" t="n"/>
      <c r="I494" s="14" t="n"/>
      <c r="J494" s="14" t="n"/>
    </row>
    <row r="495">
      <c r="A495" s="14" t="n"/>
      <c r="B495" s="14" t="n"/>
      <c r="C495" s="14" t="n"/>
      <c r="D495" s="14" t="n"/>
      <c r="E495" s="14" t="n"/>
      <c r="F495" s="14" t="n"/>
      <c r="G495" s="14" t="n"/>
      <c r="H495" s="14" t="n"/>
      <c r="I495" s="14" t="n"/>
      <c r="J495" s="14" t="n"/>
    </row>
    <row r="496">
      <c r="A496" s="14" t="n"/>
      <c r="B496" s="14" t="n"/>
      <c r="C496" s="14" t="n"/>
      <c r="D496" s="14" t="n"/>
      <c r="E496" s="14" t="n"/>
      <c r="F496" s="14" t="n"/>
      <c r="G496" s="14" t="n"/>
      <c r="H496" s="14" t="n"/>
      <c r="I496" s="14" t="n"/>
      <c r="J496" s="14" t="n"/>
    </row>
    <row r="497">
      <c r="A497" s="14" t="n"/>
      <c r="B497" s="14" t="n"/>
      <c r="C497" s="14" t="n"/>
      <c r="D497" s="14" t="n"/>
      <c r="E497" s="14" t="n"/>
      <c r="F497" s="14" t="n"/>
      <c r="G497" s="14" t="n"/>
      <c r="H497" s="14" t="n"/>
      <c r="I497" s="14" t="n"/>
      <c r="J497" s="14" t="n"/>
    </row>
    <row r="498">
      <c r="A498" s="14" t="n"/>
      <c r="B498" s="14" t="n"/>
      <c r="C498" s="14" t="n"/>
      <c r="D498" s="14" t="n"/>
      <c r="E498" s="14" t="n"/>
      <c r="F498" s="14" t="n"/>
      <c r="G498" s="14" t="n"/>
      <c r="H498" s="14" t="n"/>
      <c r="I498" s="14" t="n"/>
      <c r="J498" s="14" t="n"/>
    </row>
    <row r="499">
      <c r="A499" s="14" t="n"/>
      <c r="B499" s="14" t="n"/>
      <c r="C499" s="14" t="n"/>
      <c r="D499" s="14" t="n"/>
      <c r="E499" s="14" t="n"/>
      <c r="F499" s="14" t="n"/>
      <c r="G499" s="14" t="n"/>
      <c r="H499" s="14" t="n"/>
      <c r="I499" s="14" t="n"/>
      <c r="J499" s="14" t="n"/>
    </row>
    <row r="500">
      <c r="A500" s="14" t="n"/>
      <c r="B500" s="14" t="n"/>
      <c r="C500" s="14" t="n"/>
      <c r="D500" s="14" t="n"/>
      <c r="E500" s="14" t="n"/>
      <c r="F500" s="14" t="n"/>
      <c r="G500" s="14" t="n"/>
      <c r="H500" s="14" t="n"/>
      <c r="I500" s="14" t="n"/>
      <c r="J500" s="14" t="n"/>
    </row>
    <row r="501">
      <c r="A501" s="14" t="n"/>
      <c r="B501" s="14" t="n"/>
      <c r="C501" s="14" t="n"/>
      <c r="D501" s="14" t="n"/>
      <c r="E501" s="14" t="n"/>
      <c r="F501" s="14" t="n"/>
      <c r="G501" s="14" t="n"/>
      <c r="H501" s="14" t="n"/>
      <c r="I501" s="14" t="n"/>
      <c r="J501" s="14" t="n"/>
    </row>
    <row r="502">
      <c r="A502" s="14" t="n"/>
      <c r="B502" s="14" t="n"/>
      <c r="C502" s="14" t="n"/>
      <c r="D502" s="14" t="n"/>
      <c r="E502" s="14" t="n"/>
      <c r="F502" s="14" t="n"/>
      <c r="G502" s="14" t="n"/>
      <c r="H502" s="14" t="n"/>
      <c r="I502" s="14" t="n"/>
      <c r="J502" s="14" t="n"/>
    </row>
    <row r="503">
      <c r="A503" s="14" t="n"/>
      <c r="B503" s="14" t="n"/>
      <c r="C503" s="14" t="n"/>
      <c r="D503" s="14" t="n"/>
      <c r="E503" s="14" t="n"/>
      <c r="F503" s="14" t="n"/>
      <c r="G503" s="14" t="n"/>
      <c r="H503" s="14" t="n"/>
      <c r="I503" s="14" t="n"/>
      <c r="J503" s="14" t="n"/>
    </row>
    <row r="504">
      <c r="A504" s="14" t="n"/>
      <c r="B504" s="14" t="n"/>
      <c r="C504" s="14" t="n"/>
      <c r="D504" s="14" t="n"/>
      <c r="E504" s="14" t="n"/>
      <c r="F504" s="14" t="n"/>
      <c r="G504" s="14" t="n"/>
      <c r="H504" s="14" t="n"/>
      <c r="I504" s="14" t="n"/>
      <c r="J504" s="14" t="n"/>
    </row>
    <row r="505">
      <c r="A505" s="14" t="n"/>
      <c r="B505" s="14" t="n"/>
      <c r="C505" s="14" t="n"/>
      <c r="D505" s="14" t="n"/>
      <c r="E505" s="14" t="n"/>
      <c r="F505" s="14" t="n"/>
      <c r="G505" s="14" t="n"/>
      <c r="H505" s="14" t="n"/>
      <c r="I505" s="14" t="n"/>
      <c r="J505" s="14" t="n"/>
    </row>
    <row r="506">
      <c r="A506" s="14" t="n"/>
      <c r="B506" s="14" t="n"/>
      <c r="C506" s="14" t="n"/>
      <c r="D506" s="14" t="n"/>
      <c r="E506" s="14" t="n"/>
      <c r="F506" s="14" t="n"/>
      <c r="G506" s="14" t="n"/>
      <c r="H506" s="14" t="n"/>
      <c r="I506" s="14" t="n"/>
      <c r="J506" s="14" t="n"/>
    </row>
    <row r="507">
      <c r="A507" s="14" t="n"/>
      <c r="B507" s="14" t="n"/>
      <c r="C507" s="14" t="n"/>
      <c r="D507" s="14" t="n"/>
      <c r="E507" s="14" t="n"/>
      <c r="F507" s="14" t="n"/>
      <c r="G507" s="14" t="n"/>
      <c r="H507" s="14" t="n"/>
      <c r="I507" s="14" t="n"/>
      <c r="J507" s="14" t="n"/>
    </row>
    <row r="508">
      <c r="A508" s="14" t="n"/>
      <c r="B508" s="14" t="n"/>
      <c r="C508" s="14" t="n"/>
      <c r="D508" s="14" t="n"/>
      <c r="E508" s="14" t="n"/>
      <c r="F508" s="14" t="n"/>
      <c r="G508" s="14" t="n"/>
      <c r="H508" s="14" t="n"/>
      <c r="I508" s="14" t="n"/>
      <c r="J508" s="14" t="n"/>
    </row>
    <row r="509">
      <c r="A509" s="14" t="n"/>
      <c r="B509" s="14" t="n"/>
      <c r="C509" s="14" t="n"/>
      <c r="D509" s="14" t="n"/>
      <c r="E509" s="14" t="n"/>
      <c r="F509" s="14" t="n"/>
      <c r="G509" s="14" t="n"/>
      <c r="H509" s="14" t="n"/>
      <c r="I509" s="14" t="n"/>
      <c r="J509" s="14" t="n"/>
    </row>
    <row r="510">
      <c r="A510" s="14" t="n"/>
      <c r="B510" s="14" t="n"/>
      <c r="C510" s="14" t="n"/>
      <c r="D510" s="14" t="n"/>
      <c r="E510" s="14" t="n"/>
      <c r="F510" s="14" t="n"/>
      <c r="G510" s="14" t="n"/>
      <c r="H510" s="14" t="n"/>
      <c r="I510" s="14" t="n"/>
      <c r="J510" s="14" t="n"/>
    </row>
    <row r="511">
      <c r="A511" s="14" t="n"/>
      <c r="B511" s="14" t="n"/>
      <c r="C511" s="14" t="n"/>
      <c r="D511" s="14" t="n"/>
      <c r="E511" s="14" t="n"/>
      <c r="F511" s="14" t="n"/>
      <c r="G511" s="14" t="n"/>
      <c r="H511" s="14" t="n"/>
      <c r="I511" s="14" t="n"/>
      <c r="J511" s="14" t="n"/>
    </row>
    <row r="512">
      <c r="A512" s="14" t="n"/>
      <c r="B512" s="14" t="n"/>
      <c r="C512" s="14" t="n"/>
      <c r="D512" s="14" t="n"/>
      <c r="E512" s="14" t="n"/>
      <c r="F512" s="14" t="n"/>
      <c r="G512" s="14" t="n"/>
      <c r="H512" s="14" t="n"/>
      <c r="I512" s="14" t="n"/>
      <c r="J512" s="14" t="n"/>
    </row>
    <row r="513">
      <c r="A513" s="14" t="n"/>
      <c r="B513" s="14" t="n"/>
      <c r="C513" s="14" t="n"/>
      <c r="D513" s="14" t="n"/>
      <c r="E513" s="14" t="n"/>
      <c r="F513" s="14" t="n"/>
      <c r="G513" s="14" t="n"/>
      <c r="H513" s="14" t="n"/>
      <c r="I513" s="14" t="n"/>
      <c r="J513" s="14" t="n"/>
    </row>
    <row r="514">
      <c r="A514" s="14" t="n"/>
      <c r="B514" s="14" t="n"/>
      <c r="C514" s="14" t="n"/>
      <c r="D514" s="14" t="n"/>
      <c r="E514" s="14" t="n"/>
      <c r="F514" s="14" t="n"/>
      <c r="G514" s="14" t="n"/>
      <c r="H514" s="14" t="n"/>
      <c r="I514" s="14" t="n"/>
      <c r="J514" s="14" t="n"/>
    </row>
    <row r="515">
      <c r="A515" s="14" t="n"/>
      <c r="B515" s="14" t="n"/>
      <c r="C515" s="14" t="n"/>
      <c r="D515" s="14" t="n"/>
      <c r="E515" s="14" t="n"/>
      <c r="F515" s="14" t="n"/>
      <c r="G515" s="14" t="n"/>
      <c r="H515" s="14" t="n"/>
      <c r="I515" s="14" t="n"/>
      <c r="J515" s="14" t="n"/>
    </row>
    <row r="516">
      <c r="A516" s="14" t="n"/>
      <c r="B516" s="14" t="n"/>
      <c r="C516" s="14" t="n"/>
      <c r="D516" s="14" t="n"/>
      <c r="E516" s="14" t="n"/>
      <c r="F516" s="14" t="n"/>
      <c r="G516" s="14" t="n"/>
      <c r="H516" s="14" t="n"/>
      <c r="I516" s="14" t="n"/>
      <c r="J516" s="14" t="n"/>
    </row>
    <row r="517">
      <c r="A517" s="14" t="n"/>
      <c r="B517" s="14" t="n"/>
      <c r="C517" s="14" t="n"/>
      <c r="D517" s="14" t="n"/>
      <c r="E517" s="14" t="n"/>
      <c r="F517" s="14" t="n"/>
      <c r="G517" s="14" t="n"/>
      <c r="H517" s="14" t="n"/>
      <c r="I517" s="14" t="n"/>
      <c r="J517" s="14" t="n"/>
    </row>
    <row r="518">
      <c r="A518" s="14" t="n"/>
      <c r="B518" s="14" t="n"/>
      <c r="C518" s="14" t="n"/>
      <c r="D518" s="14" t="n"/>
      <c r="E518" s="14" t="n"/>
      <c r="F518" s="14" t="n"/>
      <c r="G518" s="14" t="n"/>
      <c r="H518" s="14" t="n"/>
      <c r="I518" s="14" t="n"/>
      <c r="J518" s="14" t="n"/>
    </row>
    <row r="519">
      <c r="A519" s="14" t="n"/>
      <c r="B519" s="14" t="n"/>
      <c r="C519" s="14" t="n"/>
      <c r="D519" s="14" t="n"/>
      <c r="E519" s="14" t="n"/>
      <c r="F519" s="14" t="n"/>
      <c r="G519" s="14" t="n"/>
      <c r="H519" s="14" t="n"/>
      <c r="I519" s="14" t="n"/>
      <c r="J519" s="14" t="n"/>
    </row>
    <row r="520">
      <c r="A520" s="14" t="n"/>
      <c r="B520" s="14" t="n"/>
      <c r="C520" s="14" t="n"/>
      <c r="D520" s="14" t="n"/>
      <c r="E520" s="14" t="n"/>
      <c r="F520" s="14" t="n"/>
      <c r="G520" s="14" t="n"/>
      <c r="H520" s="14" t="n"/>
      <c r="I520" s="14" t="n"/>
      <c r="J520" s="14" t="n"/>
    </row>
    <row r="521">
      <c r="A521" s="14" t="n"/>
      <c r="B521" s="14" t="n"/>
      <c r="C521" s="14" t="n"/>
      <c r="D521" s="14" t="n"/>
      <c r="E521" s="14" t="n"/>
      <c r="F521" s="14" t="n"/>
      <c r="G521" s="14" t="n"/>
      <c r="H521" s="14" t="n"/>
      <c r="I521" s="14" t="n"/>
      <c r="J521" s="14" t="n"/>
    </row>
    <row r="522">
      <c r="A522" s="14" t="n"/>
      <c r="B522" s="14" t="n"/>
      <c r="C522" s="14" t="n"/>
      <c r="D522" s="14" t="n"/>
      <c r="E522" s="14" t="n"/>
      <c r="F522" s="14" t="n"/>
      <c r="G522" s="14" t="n"/>
      <c r="H522" s="14" t="n"/>
      <c r="I522" s="14" t="n"/>
      <c r="J522" s="14" t="n"/>
    </row>
    <row r="523">
      <c r="A523" s="14" t="n"/>
      <c r="B523" s="14" t="n"/>
      <c r="C523" s="14" t="n"/>
      <c r="D523" s="14" t="n"/>
      <c r="E523" s="14" t="n"/>
      <c r="F523" s="14" t="n"/>
      <c r="G523" s="14" t="n"/>
      <c r="H523" s="14" t="n"/>
      <c r="I523" s="14" t="n"/>
      <c r="J523" s="14" t="n"/>
    </row>
    <row r="524">
      <c r="A524" s="14" t="n"/>
      <c r="B524" s="14" t="n"/>
      <c r="C524" s="14" t="n"/>
      <c r="D524" s="14" t="n"/>
      <c r="E524" s="14" t="n"/>
      <c r="F524" s="14" t="n"/>
      <c r="G524" s="14" t="n"/>
      <c r="H524" s="14" t="n"/>
      <c r="I524" s="14" t="n"/>
      <c r="J524" s="14" t="n"/>
    </row>
    <row r="525">
      <c r="A525" s="14" t="n"/>
      <c r="B525" s="14" t="n"/>
      <c r="C525" s="14" t="n"/>
      <c r="D525" s="14" t="n"/>
      <c r="E525" s="14" t="n"/>
      <c r="F525" s="14" t="n"/>
      <c r="G525" s="14" t="n"/>
      <c r="H525" s="14" t="n"/>
      <c r="I525" s="14" t="n"/>
      <c r="J525" s="14" t="n"/>
    </row>
    <row r="526">
      <c r="A526" s="14" t="n"/>
      <c r="B526" s="14" t="n"/>
      <c r="C526" s="14" t="n"/>
      <c r="D526" s="14" t="n"/>
      <c r="E526" s="14" t="n"/>
      <c r="F526" s="14" t="n"/>
      <c r="G526" s="14" t="n"/>
      <c r="H526" s="14" t="n"/>
      <c r="I526" s="14" t="n"/>
      <c r="J526" s="14" t="n"/>
    </row>
    <row r="527">
      <c r="A527" s="14" t="n"/>
      <c r="B527" s="14" t="n"/>
      <c r="C527" s="14" t="n"/>
      <c r="D527" s="14" t="n"/>
      <c r="E527" s="14" t="n"/>
      <c r="F527" s="14" t="n"/>
      <c r="G527" s="14" t="n"/>
      <c r="H527" s="14" t="n"/>
      <c r="I527" s="14" t="n"/>
      <c r="J527" s="14" t="n"/>
    </row>
    <row r="528">
      <c r="A528" s="14" t="n"/>
      <c r="B528" s="14" t="n"/>
      <c r="C528" s="14" t="n"/>
      <c r="D528" s="14" t="n"/>
      <c r="E528" s="14" t="n"/>
      <c r="F528" s="14" t="n"/>
      <c r="G528" s="14" t="n"/>
      <c r="H528" s="14" t="n"/>
      <c r="I528" s="14" t="n"/>
      <c r="J528" s="14" t="n"/>
    </row>
    <row r="529">
      <c r="A529" s="14" t="n"/>
      <c r="B529" s="14" t="n"/>
      <c r="C529" s="14" t="n"/>
      <c r="D529" s="14" t="n"/>
      <c r="E529" s="14" t="n"/>
      <c r="F529" s="14" t="n"/>
      <c r="G529" s="14" t="n"/>
      <c r="H529" s="14" t="n"/>
      <c r="I529" s="14" t="n"/>
      <c r="J529" s="14" t="n"/>
    </row>
    <row r="530">
      <c r="A530" s="14" t="n"/>
      <c r="B530" s="14" t="n"/>
      <c r="C530" s="14" t="n"/>
      <c r="D530" s="14" t="n"/>
      <c r="E530" s="14" t="n"/>
      <c r="F530" s="14" t="n"/>
      <c r="G530" s="14" t="n"/>
      <c r="H530" s="14" t="n"/>
      <c r="I530" s="14" t="n"/>
      <c r="J530" s="14" t="n"/>
    </row>
    <row r="531">
      <c r="A531" s="14" t="n"/>
      <c r="B531" s="14" t="n"/>
      <c r="C531" s="14" t="n"/>
      <c r="D531" s="14" t="n"/>
      <c r="E531" s="14" t="n"/>
      <c r="F531" s="14" t="n"/>
      <c r="G531" s="14" t="n"/>
      <c r="H531" s="14" t="n"/>
      <c r="I531" s="14" t="n"/>
      <c r="J531" s="14" t="n"/>
    </row>
    <row r="532">
      <c r="A532" s="14" t="n"/>
      <c r="B532" s="14" t="n"/>
      <c r="C532" s="14" t="n"/>
      <c r="D532" s="14" t="n"/>
      <c r="E532" s="14" t="n"/>
      <c r="F532" s="14" t="n"/>
      <c r="G532" s="14" t="n"/>
      <c r="H532" s="14" t="n"/>
      <c r="I532" s="14" t="n"/>
      <c r="J532" s="14" t="n"/>
    </row>
    <row r="533">
      <c r="A533" s="14" t="n"/>
      <c r="B533" s="14" t="n"/>
      <c r="C533" s="14" t="n"/>
      <c r="D533" s="14" t="n"/>
      <c r="E533" s="14" t="n"/>
      <c r="F533" s="14" t="n"/>
      <c r="G533" s="14" t="n"/>
      <c r="H533" s="14" t="n"/>
      <c r="I533" s="14" t="n"/>
      <c r="J533" s="14" t="n"/>
    </row>
    <row r="534">
      <c r="A534" s="14" t="n"/>
      <c r="B534" s="14" t="n"/>
      <c r="C534" s="14" t="n"/>
      <c r="D534" s="14" t="n"/>
      <c r="E534" s="14" t="n"/>
      <c r="F534" s="14" t="n"/>
      <c r="G534" s="14" t="n"/>
      <c r="H534" s="14" t="n"/>
      <c r="I534" s="14" t="n"/>
      <c r="J534" s="14" t="n"/>
    </row>
    <row r="535">
      <c r="A535" s="14" t="n"/>
      <c r="B535" s="14" t="n"/>
      <c r="C535" s="14" t="n"/>
      <c r="D535" s="14" t="n"/>
      <c r="E535" s="14" t="n"/>
      <c r="F535" s="14" t="n"/>
      <c r="G535" s="14" t="n"/>
      <c r="H535" s="14" t="n"/>
      <c r="I535" s="14" t="n"/>
      <c r="J535" s="14" t="n"/>
    </row>
    <row r="536">
      <c r="A536" s="14" t="n"/>
      <c r="B536" s="14" t="n"/>
      <c r="C536" s="14" t="n"/>
      <c r="D536" s="14" t="n"/>
      <c r="E536" s="14" t="n"/>
      <c r="F536" s="14" t="n"/>
      <c r="G536" s="14" t="n"/>
      <c r="H536" s="14" t="n"/>
      <c r="I536" s="14" t="n"/>
      <c r="J536" s="14" t="n"/>
    </row>
    <row r="537">
      <c r="A537" s="14" t="n"/>
      <c r="B537" s="14" t="n"/>
      <c r="C537" s="14" t="n"/>
      <c r="D537" s="14" t="n"/>
      <c r="E537" s="14" t="n"/>
      <c r="F537" s="14" t="n"/>
      <c r="G537" s="14" t="n"/>
      <c r="H537" s="14" t="n"/>
      <c r="I537" s="14" t="n"/>
      <c r="J537" s="14" t="n"/>
    </row>
    <row r="538">
      <c r="A538" s="14" t="n"/>
      <c r="B538" s="14" t="n"/>
      <c r="C538" s="14" t="n"/>
      <c r="D538" s="14" t="n"/>
      <c r="E538" s="14" t="n"/>
      <c r="F538" s="14" t="n"/>
      <c r="G538" s="14" t="n"/>
      <c r="H538" s="14" t="n"/>
      <c r="I538" s="14" t="n"/>
      <c r="J538" s="14" t="n"/>
    </row>
    <row r="539">
      <c r="A539" s="14" t="n"/>
      <c r="B539" s="14" t="n"/>
      <c r="C539" s="14" t="n"/>
      <c r="D539" s="14" t="n"/>
      <c r="E539" s="14" t="n"/>
      <c r="F539" s="14" t="n"/>
      <c r="G539" s="14" t="n"/>
      <c r="H539" s="14" t="n"/>
      <c r="I539" s="14" t="n"/>
      <c r="J539" s="14" t="n"/>
    </row>
    <row r="540">
      <c r="A540" s="14" t="n"/>
      <c r="B540" s="14" t="n"/>
      <c r="C540" s="14" t="n"/>
      <c r="D540" s="14" t="n"/>
      <c r="E540" s="14" t="n"/>
      <c r="F540" s="14" t="n"/>
      <c r="G540" s="14" t="n"/>
      <c r="H540" s="14" t="n"/>
      <c r="I540" s="14" t="n"/>
      <c r="J540" s="14" t="n"/>
    </row>
    <row r="541">
      <c r="A541" s="14" t="n"/>
      <c r="B541" s="14" t="n"/>
      <c r="C541" s="14" t="n"/>
      <c r="D541" s="14" t="n"/>
      <c r="E541" s="14" t="n"/>
      <c r="F541" s="14" t="n"/>
      <c r="G541" s="14" t="n"/>
      <c r="H541" s="14" t="n"/>
      <c r="I541" s="14" t="n"/>
      <c r="J541" s="14" t="n"/>
    </row>
    <row r="542">
      <c r="A542" s="14" t="n"/>
      <c r="B542" s="14" t="n"/>
      <c r="C542" s="14" t="n"/>
      <c r="D542" s="14" t="n"/>
      <c r="E542" s="14" t="n"/>
      <c r="F542" s="14" t="n"/>
      <c r="G542" s="14" t="n"/>
      <c r="H542" s="14" t="n"/>
      <c r="I542" s="14" t="n"/>
      <c r="J542" s="14" t="n"/>
    </row>
    <row r="543">
      <c r="A543" s="14" t="n"/>
      <c r="B543" s="14" t="n"/>
      <c r="C543" s="14" t="n"/>
      <c r="D543" s="14" t="n"/>
      <c r="E543" s="14" t="n"/>
      <c r="F543" s="14" t="n"/>
      <c r="G543" s="14" t="n"/>
      <c r="H543" s="14" t="n"/>
      <c r="I543" s="14" t="n"/>
      <c r="J543" s="14" t="n"/>
    </row>
    <row r="544">
      <c r="A544" s="14" t="n"/>
      <c r="B544" s="14" t="n"/>
      <c r="C544" s="14" t="n"/>
      <c r="D544" s="14" t="n"/>
      <c r="E544" s="14" t="n"/>
      <c r="F544" s="14" t="n"/>
      <c r="G544" s="14" t="n"/>
      <c r="H544" s="14" t="n"/>
      <c r="I544" s="14" t="n"/>
      <c r="J544" s="14" t="n"/>
    </row>
    <row r="545">
      <c r="A545" s="14" t="n"/>
      <c r="B545" s="14" t="n"/>
      <c r="C545" s="14" t="n"/>
      <c r="D545" s="14" t="n"/>
      <c r="E545" s="14" t="n"/>
      <c r="F545" s="14" t="n"/>
      <c r="G545" s="14" t="n"/>
      <c r="H545" s="14" t="n"/>
      <c r="I545" s="14" t="n"/>
      <c r="J545" s="14" t="n"/>
    </row>
    <row r="546">
      <c r="A546" s="14" t="n"/>
      <c r="B546" s="14" t="n"/>
      <c r="C546" s="14" t="n"/>
      <c r="D546" s="14" t="n"/>
      <c r="E546" s="14" t="n"/>
      <c r="F546" s="14" t="n"/>
      <c r="G546" s="14" t="n"/>
      <c r="H546" s="14" t="n"/>
      <c r="I546" s="14" t="n"/>
      <c r="J546" s="14" t="n"/>
    </row>
    <row r="547">
      <c r="A547" s="14" t="n"/>
      <c r="B547" s="14" t="n"/>
      <c r="C547" s="14" t="n"/>
      <c r="D547" s="14" t="n"/>
      <c r="E547" s="14" t="n"/>
      <c r="F547" s="14" t="n"/>
      <c r="G547" s="14" t="n"/>
      <c r="H547" s="14" t="n"/>
      <c r="I547" s="14" t="n"/>
      <c r="J547" s="14" t="n"/>
    </row>
    <row r="548">
      <c r="A548" s="14" t="n"/>
      <c r="B548" s="14" t="n"/>
      <c r="C548" s="14" t="n"/>
      <c r="D548" s="14" t="n"/>
      <c r="E548" s="14" t="n"/>
      <c r="F548" s="14" t="n"/>
      <c r="G548" s="14" t="n"/>
      <c r="H548" s="14" t="n"/>
      <c r="I548" s="14" t="n"/>
      <c r="J548" s="14" t="n"/>
    </row>
    <row r="549">
      <c r="A549" s="14" t="n"/>
      <c r="B549" s="14" t="n"/>
      <c r="C549" s="14" t="n"/>
      <c r="D549" s="14" t="n"/>
      <c r="E549" s="14" t="n"/>
      <c r="F549" s="14" t="n"/>
      <c r="G549" s="14" t="n"/>
      <c r="H549" s="14" t="n"/>
      <c r="I549" s="14" t="n"/>
      <c r="J549" s="14" t="n"/>
    </row>
    <row r="550">
      <c r="A550" s="14" t="n"/>
      <c r="B550" s="14" t="n"/>
      <c r="C550" s="14" t="n"/>
      <c r="D550" s="14" t="n"/>
      <c r="E550" s="14" t="n"/>
      <c r="F550" s="14" t="n"/>
      <c r="G550" s="14" t="n"/>
      <c r="H550" s="14" t="n"/>
      <c r="I550" s="14" t="n"/>
      <c r="J550" s="14" t="n"/>
    </row>
    <row r="551">
      <c r="A551" s="14" t="n"/>
      <c r="B551" s="14" t="n"/>
      <c r="C551" s="14" t="n"/>
      <c r="D551" s="14" t="n"/>
      <c r="E551" s="14" t="n"/>
      <c r="F551" s="14" t="n"/>
      <c r="G551" s="14" t="n"/>
      <c r="H551" s="14" t="n"/>
      <c r="I551" s="14" t="n"/>
      <c r="J551" s="14" t="n"/>
    </row>
    <row r="552">
      <c r="A552" s="14" t="n"/>
      <c r="B552" s="14" t="n"/>
      <c r="C552" s="14" t="n"/>
      <c r="D552" s="14" t="n"/>
      <c r="E552" s="14" t="n"/>
      <c r="F552" s="14" t="n"/>
      <c r="G552" s="14" t="n"/>
      <c r="H552" s="14" t="n"/>
      <c r="I552" s="14" t="n"/>
      <c r="J552" s="14" t="n"/>
    </row>
    <row r="553">
      <c r="A553" s="14" t="n"/>
      <c r="B553" s="14" t="n"/>
      <c r="C553" s="14" t="n"/>
      <c r="D553" s="14" t="n"/>
      <c r="E553" s="14" t="n"/>
      <c r="F553" s="14" t="n"/>
      <c r="G553" s="14" t="n"/>
      <c r="H553" s="14" t="n"/>
      <c r="I553" s="14" t="n"/>
      <c r="J553" s="14" t="n"/>
    </row>
    <row r="554">
      <c r="A554" s="14" t="n"/>
      <c r="B554" s="14" t="n"/>
      <c r="C554" s="14" t="n"/>
      <c r="D554" s="14" t="n"/>
      <c r="E554" s="14" t="n"/>
      <c r="F554" s="14" t="n"/>
      <c r="G554" s="14" t="n"/>
      <c r="H554" s="14" t="n"/>
      <c r="I554" s="14" t="n"/>
      <c r="J554" s="14" t="n"/>
    </row>
    <row r="555">
      <c r="A555" s="14" t="n"/>
      <c r="B555" s="14" t="n"/>
      <c r="C555" s="14" t="n"/>
      <c r="D555" s="14" t="n"/>
      <c r="E555" s="14" t="n"/>
      <c r="F555" s="14" t="n"/>
      <c r="G555" s="14" t="n"/>
      <c r="H555" s="14" t="n"/>
      <c r="I555" s="14" t="n"/>
      <c r="J555" s="14" t="n"/>
    </row>
    <row r="556">
      <c r="A556" s="14" t="n"/>
      <c r="B556" s="14" t="n"/>
      <c r="C556" s="14" t="n"/>
      <c r="D556" s="14" t="n"/>
      <c r="E556" s="14" t="n"/>
      <c r="F556" s="14" t="n"/>
      <c r="G556" s="14" t="n"/>
      <c r="H556" s="14" t="n"/>
      <c r="I556" s="14" t="n"/>
      <c r="J556" s="14" t="n"/>
    </row>
    <row r="557">
      <c r="A557" s="14" t="n"/>
      <c r="B557" s="14" t="n"/>
      <c r="C557" s="14" t="n"/>
      <c r="D557" s="14" t="n"/>
      <c r="E557" s="14" t="n"/>
      <c r="F557" s="14" t="n"/>
      <c r="G557" s="14" t="n"/>
      <c r="H557" s="14" t="n"/>
      <c r="I557" s="14" t="n"/>
      <c r="J557" s="14" t="n"/>
    </row>
    <row r="558">
      <c r="A558" s="14" t="n"/>
      <c r="B558" s="14" t="n"/>
      <c r="C558" s="14" t="n"/>
      <c r="D558" s="14" t="n"/>
      <c r="E558" s="14" t="n"/>
      <c r="F558" s="14" t="n"/>
      <c r="G558" s="14" t="n"/>
      <c r="H558" s="14" t="n"/>
      <c r="I558" s="14" t="n"/>
      <c r="J558" s="14" t="n"/>
    </row>
    <row r="559">
      <c r="A559" s="14" t="n"/>
      <c r="B559" s="14" t="n"/>
      <c r="C559" s="14" t="n"/>
      <c r="D559" s="14" t="n"/>
      <c r="E559" s="14" t="n"/>
      <c r="F559" s="14" t="n"/>
      <c r="G559" s="14" t="n"/>
      <c r="H559" s="14" t="n"/>
      <c r="I559" s="14" t="n"/>
      <c r="J559" s="14" t="n"/>
    </row>
    <row r="560">
      <c r="A560" s="14" t="n"/>
      <c r="B560" s="14" t="n"/>
      <c r="C560" s="14" t="n"/>
      <c r="D560" s="14" t="n"/>
      <c r="E560" s="14" t="n"/>
      <c r="F560" s="14" t="n"/>
      <c r="G560" s="14" t="n"/>
      <c r="H560" s="14" t="n"/>
      <c r="I560" s="14" t="n"/>
      <c r="J560" s="14" t="n"/>
    </row>
    <row r="561">
      <c r="A561" s="14" t="n"/>
      <c r="B561" s="14" t="n"/>
      <c r="C561" s="14" t="n"/>
      <c r="D561" s="14" t="n"/>
      <c r="E561" s="14" t="n"/>
      <c r="F561" s="14" t="n"/>
      <c r="G561" s="14" t="n"/>
      <c r="H561" s="14" t="n"/>
      <c r="I561" s="14" t="n"/>
      <c r="J561" s="14" t="n"/>
    </row>
    <row r="562">
      <c r="A562" s="14" t="n"/>
      <c r="B562" s="14" t="n"/>
      <c r="C562" s="14" t="n"/>
      <c r="D562" s="14" t="n"/>
      <c r="E562" s="14" t="n"/>
      <c r="F562" s="14" t="n"/>
      <c r="G562" s="14" t="n"/>
      <c r="H562" s="14" t="n"/>
      <c r="I562" s="14" t="n"/>
      <c r="J562" s="14" t="n"/>
    </row>
    <row r="563">
      <c r="A563" s="14" t="n"/>
      <c r="B563" s="14" t="n"/>
      <c r="C563" s="14" t="n"/>
      <c r="D563" s="14" t="n"/>
      <c r="E563" s="14" t="n"/>
      <c r="F563" s="14" t="n"/>
      <c r="G563" s="14" t="n"/>
      <c r="H563" s="14" t="n"/>
      <c r="I563" s="14" t="n"/>
      <c r="J563" s="14" t="n"/>
    </row>
    <row r="564">
      <c r="A564" s="14" t="n"/>
      <c r="B564" s="14" t="n"/>
      <c r="C564" s="14" t="n"/>
      <c r="D564" s="14" t="n"/>
      <c r="E564" s="14" t="n"/>
      <c r="F564" s="14" t="n"/>
      <c r="G564" s="14" t="n"/>
      <c r="H564" s="14" t="n"/>
      <c r="I564" s="14" t="n"/>
      <c r="J564" s="14" t="n"/>
    </row>
    <row r="565">
      <c r="A565" s="14" t="n"/>
      <c r="B565" s="14" t="n"/>
      <c r="C565" s="14" t="n"/>
      <c r="D565" s="14" t="n"/>
      <c r="E565" s="14" t="n"/>
      <c r="F565" s="14" t="n"/>
      <c r="G565" s="14" t="n"/>
      <c r="H565" s="14" t="n"/>
      <c r="I565" s="14" t="n"/>
      <c r="J565" s="14" t="n"/>
    </row>
    <row r="566">
      <c r="A566" s="14" t="n"/>
      <c r="B566" s="14" t="n"/>
      <c r="C566" s="14" t="n"/>
      <c r="D566" s="14" t="n"/>
      <c r="E566" s="14" t="n"/>
      <c r="F566" s="14" t="n"/>
      <c r="G566" s="14" t="n"/>
      <c r="H566" s="14" t="n"/>
      <c r="I566" s="14" t="n"/>
      <c r="J566" s="14" t="n"/>
    </row>
    <row r="567">
      <c r="A567" s="14" t="n"/>
      <c r="B567" s="14" t="n"/>
      <c r="C567" s="14" t="n"/>
      <c r="D567" s="14" t="n"/>
      <c r="E567" s="14" t="n"/>
      <c r="F567" s="14" t="n"/>
      <c r="G567" s="14" t="n"/>
      <c r="H567" s="14" t="n"/>
      <c r="I567" s="14" t="n"/>
      <c r="J567" s="14" t="n"/>
    </row>
    <row r="568">
      <c r="A568" s="14" t="n"/>
      <c r="B568" s="14" t="n"/>
      <c r="C568" s="14" t="n"/>
      <c r="D568" s="14" t="n"/>
      <c r="E568" s="14" t="n"/>
      <c r="F568" s="14" t="n"/>
      <c r="G568" s="14" t="n"/>
      <c r="H568" s="14" t="n"/>
      <c r="I568" s="14" t="n"/>
      <c r="J568" s="14" t="n"/>
    </row>
    <row r="569">
      <c r="A569" s="14" t="n"/>
      <c r="B569" s="14" t="n"/>
      <c r="C569" s="14" t="n"/>
      <c r="D569" s="14" t="n"/>
      <c r="E569" s="14" t="n"/>
      <c r="F569" s="14" t="n"/>
      <c r="G569" s="14" t="n"/>
      <c r="H569" s="14" t="n"/>
      <c r="I569" s="14" t="n"/>
      <c r="J569" s="14" t="n"/>
    </row>
    <row r="570">
      <c r="A570" s="14" t="n"/>
      <c r="B570" s="14" t="n"/>
      <c r="C570" s="14" t="n"/>
      <c r="D570" s="14" t="n"/>
      <c r="E570" s="14" t="n"/>
      <c r="F570" s="14" t="n"/>
      <c r="G570" s="14" t="n"/>
      <c r="H570" s="14" t="n"/>
      <c r="I570" s="14" t="n"/>
      <c r="J570" s="14" t="n"/>
    </row>
    <row r="571">
      <c r="A571" s="14" t="n"/>
      <c r="B571" s="14" t="n"/>
      <c r="C571" s="14" t="n"/>
      <c r="D571" s="14" t="n"/>
      <c r="E571" s="14" t="n"/>
      <c r="F571" s="14" t="n"/>
      <c r="G571" s="14" t="n"/>
      <c r="H571" s="14" t="n"/>
      <c r="I571" s="14" t="n"/>
      <c r="J571" s="14" t="n"/>
    </row>
    <row r="572">
      <c r="A572" s="14" t="n"/>
      <c r="B572" s="14" t="n"/>
      <c r="C572" s="14" t="n"/>
      <c r="D572" s="14" t="n"/>
      <c r="E572" s="14" t="n"/>
      <c r="F572" s="14" t="n"/>
      <c r="G572" s="14" t="n"/>
      <c r="H572" s="14" t="n"/>
      <c r="I572" s="14" t="n"/>
      <c r="J572" s="14" t="n"/>
    </row>
    <row r="573">
      <c r="A573" s="14" t="n"/>
      <c r="B573" s="14" t="n"/>
      <c r="C573" s="14" t="n"/>
      <c r="D573" s="14" t="n"/>
      <c r="E573" s="14" t="n"/>
      <c r="F573" s="14" t="n"/>
      <c r="G573" s="14" t="n"/>
      <c r="H573" s="14" t="n"/>
      <c r="I573" s="14" t="n"/>
      <c r="J573" s="14" t="n"/>
    </row>
    <row r="574">
      <c r="A574" s="14" t="n"/>
      <c r="B574" s="14" t="n"/>
      <c r="C574" s="14" t="n"/>
      <c r="D574" s="14" t="n"/>
      <c r="E574" s="14" t="n"/>
      <c r="F574" s="14" t="n"/>
      <c r="G574" s="14" t="n"/>
      <c r="H574" s="14" t="n"/>
      <c r="I574" s="14" t="n"/>
      <c r="J574" s="14" t="n"/>
    </row>
    <row r="575">
      <c r="A575" s="14" t="n"/>
      <c r="B575" s="14" t="n"/>
      <c r="C575" s="14" t="n"/>
      <c r="D575" s="14" t="n"/>
      <c r="E575" s="14" t="n"/>
      <c r="F575" s="14" t="n"/>
      <c r="G575" s="14" t="n"/>
      <c r="H575" s="14" t="n"/>
      <c r="I575" s="14" t="n"/>
      <c r="J575" s="14" t="n"/>
    </row>
    <row r="576">
      <c r="A576" s="14" t="n"/>
      <c r="B576" s="14" t="n"/>
      <c r="C576" s="14" t="n"/>
      <c r="D576" s="14" t="n"/>
      <c r="E576" s="14" t="n"/>
      <c r="F576" s="14" t="n"/>
      <c r="G576" s="14" t="n"/>
      <c r="H576" s="14" t="n"/>
      <c r="I576" s="14" t="n"/>
      <c r="J576" s="14" t="n"/>
    </row>
    <row r="577">
      <c r="A577" s="14" t="n"/>
      <c r="B577" s="14" t="n"/>
      <c r="C577" s="14" t="n"/>
      <c r="D577" s="14" t="n"/>
      <c r="E577" s="14" t="n"/>
      <c r="F577" s="14" t="n"/>
      <c r="G577" s="14" t="n"/>
      <c r="H577" s="14" t="n"/>
      <c r="I577" s="14" t="n"/>
      <c r="J577" s="14" t="n"/>
    </row>
    <row r="578">
      <c r="A578" s="14" t="n"/>
      <c r="B578" s="14" t="n"/>
      <c r="C578" s="14" t="n"/>
      <c r="D578" s="14" t="n"/>
      <c r="E578" s="14" t="n"/>
      <c r="F578" s="14" t="n"/>
      <c r="G578" s="14" t="n"/>
      <c r="H578" s="14" t="n"/>
      <c r="I578" s="14" t="n"/>
      <c r="J578" s="14" t="n"/>
    </row>
    <row r="579">
      <c r="A579" s="14" t="n"/>
      <c r="B579" s="14" t="n"/>
      <c r="C579" s="14" t="n"/>
      <c r="D579" s="14" t="n"/>
      <c r="E579" s="14" t="n"/>
      <c r="F579" s="14" t="n"/>
      <c r="G579" s="14" t="n"/>
      <c r="H579" s="14" t="n"/>
      <c r="I579" s="14" t="n"/>
      <c r="J579" s="14" t="n"/>
    </row>
    <row r="580">
      <c r="A580" s="14" t="n"/>
      <c r="B580" s="14" t="n"/>
      <c r="C580" s="14" t="n"/>
      <c r="D580" s="14" t="n"/>
      <c r="E580" s="14" t="n"/>
      <c r="F580" s="14" t="n"/>
      <c r="G580" s="14" t="n"/>
      <c r="H580" s="14" t="n"/>
      <c r="I580" s="14" t="n"/>
      <c r="J580" s="14" t="n"/>
    </row>
    <row r="581">
      <c r="A581" s="14" t="n"/>
      <c r="B581" s="14" t="n"/>
      <c r="C581" s="14" t="n"/>
      <c r="D581" s="14" t="n"/>
      <c r="E581" s="14" t="n"/>
      <c r="F581" s="14" t="n"/>
      <c r="G581" s="14" t="n"/>
      <c r="H581" s="14" t="n"/>
      <c r="I581" s="14" t="n"/>
      <c r="J581" s="14" t="n"/>
    </row>
    <row r="582">
      <c r="A582" s="14" t="n"/>
      <c r="B582" s="14" t="n"/>
      <c r="C582" s="14" t="n"/>
      <c r="D582" s="14" t="n"/>
      <c r="E582" s="14" t="n"/>
      <c r="F582" s="14" t="n"/>
      <c r="G582" s="14" t="n"/>
      <c r="H582" s="14" t="n"/>
      <c r="I582" s="14" t="n"/>
      <c r="J582" s="14" t="n"/>
    </row>
    <row r="583">
      <c r="A583" s="14" t="n"/>
      <c r="B583" s="14" t="n"/>
      <c r="C583" s="14" t="n"/>
      <c r="D583" s="14" t="n"/>
      <c r="E583" s="14" t="n"/>
      <c r="F583" s="14" t="n"/>
      <c r="G583" s="14" t="n"/>
      <c r="H583" s="14" t="n"/>
      <c r="I583" s="14" t="n"/>
      <c r="J583" s="14" t="n"/>
    </row>
    <row r="584">
      <c r="A584" s="14" t="n"/>
      <c r="B584" s="14" t="n"/>
      <c r="C584" s="14" t="n"/>
      <c r="D584" s="14" t="n"/>
      <c r="E584" s="14" t="n"/>
      <c r="F584" s="14" t="n"/>
      <c r="G584" s="14" t="n"/>
      <c r="H584" s="14" t="n"/>
      <c r="I584" s="14" t="n"/>
      <c r="J584" s="14" t="n"/>
    </row>
    <row r="585">
      <c r="A585" s="14" t="n"/>
      <c r="B585" s="14" t="n"/>
      <c r="C585" s="14" t="n"/>
      <c r="D585" s="14" t="n"/>
      <c r="E585" s="14" t="n"/>
      <c r="F585" s="14" t="n"/>
      <c r="G585" s="14" t="n"/>
      <c r="H585" s="14" t="n"/>
      <c r="I585" s="14" t="n"/>
      <c r="J585" s="14" t="n"/>
    </row>
    <row r="586">
      <c r="A586" s="14" t="n"/>
      <c r="B586" s="14" t="n"/>
      <c r="C586" s="14" t="n"/>
      <c r="D586" s="14" t="n"/>
      <c r="E586" s="14" t="n"/>
      <c r="F586" s="14" t="n"/>
      <c r="G586" s="14" t="n"/>
      <c r="H586" s="14" t="n"/>
      <c r="I586" s="14" t="n"/>
      <c r="J586" s="14" t="n"/>
    </row>
    <row r="587">
      <c r="A587" s="14" t="n"/>
      <c r="B587" s="14" t="n"/>
      <c r="C587" s="14" t="n"/>
      <c r="D587" s="14" t="n"/>
      <c r="E587" s="14" t="n"/>
      <c r="F587" s="14" t="n"/>
      <c r="G587" s="14" t="n"/>
      <c r="H587" s="14" t="n"/>
      <c r="I587" s="14" t="n"/>
      <c r="J587" s="14" t="n"/>
    </row>
    <row r="588">
      <c r="A588" s="14" t="n"/>
      <c r="B588" s="14" t="n"/>
      <c r="C588" s="14" t="n"/>
      <c r="D588" s="14" t="n"/>
      <c r="E588" s="14" t="n"/>
      <c r="F588" s="14" t="n"/>
      <c r="G588" s="14" t="n"/>
      <c r="H588" s="14" t="n"/>
      <c r="I588" s="14" t="n"/>
      <c r="J588" s="14" t="n"/>
    </row>
    <row r="589">
      <c r="A589" s="14" t="n"/>
      <c r="B589" s="14" t="n"/>
      <c r="C589" s="14" t="n"/>
      <c r="D589" s="14" t="n"/>
      <c r="E589" s="14" t="n"/>
      <c r="F589" s="14" t="n"/>
      <c r="G589" s="14" t="n"/>
      <c r="H589" s="14" t="n"/>
      <c r="I589" s="14" t="n"/>
      <c r="J589" s="14" t="n"/>
    </row>
    <row r="590">
      <c r="A590" s="14" t="n"/>
      <c r="B590" s="14" t="n"/>
      <c r="C590" s="14" t="n"/>
      <c r="D590" s="14" t="n"/>
      <c r="E590" s="14" t="n"/>
      <c r="F590" s="14" t="n"/>
      <c r="G590" s="14" t="n"/>
      <c r="H590" s="14" t="n"/>
      <c r="I590" s="14" t="n"/>
      <c r="J590" s="14" t="n"/>
    </row>
    <row r="591">
      <c r="A591" s="14" t="n"/>
      <c r="B591" s="14" t="n"/>
      <c r="C591" s="14" t="n"/>
      <c r="D591" s="14" t="n"/>
      <c r="E591" s="14" t="n"/>
      <c r="F591" s="14" t="n"/>
      <c r="G591" s="14" t="n"/>
      <c r="H591" s="14" t="n"/>
      <c r="I591" s="14" t="n"/>
      <c r="J591" s="14" t="n"/>
    </row>
    <row r="592">
      <c r="A592" s="14" t="n"/>
      <c r="B592" s="14" t="n"/>
      <c r="C592" s="14" t="n"/>
      <c r="D592" s="14" t="n"/>
      <c r="E592" s="14" t="n"/>
      <c r="F592" s="14" t="n"/>
      <c r="G592" s="14" t="n"/>
      <c r="H592" s="14" t="n"/>
      <c r="I592" s="14" t="n"/>
      <c r="J592" s="14" t="n"/>
    </row>
    <row r="593">
      <c r="A593" s="14" t="n"/>
      <c r="B593" s="14" t="n"/>
      <c r="C593" s="14" t="n"/>
      <c r="D593" s="14" t="n"/>
      <c r="E593" s="14" t="n"/>
      <c r="F593" s="14" t="n"/>
      <c r="G593" s="14" t="n"/>
      <c r="H593" s="14" t="n"/>
      <c r="I593" s="14" t="n"/>
      <c r="J593" s="14" t="n"/>
    </row>
    <row r="594">
      <c r="A594" s="14" t="n"/>
      <c r="B594" s="14" t="n"/>
      <c r="C594" s="14" t="n"/>
      <c r="D594" s="14" t="n"/>
      <c r="E594" s="14" t="n"/>
      <c r="F594" s="14" t="n"/>
      <c r="G594" s="14" t="n"/>
      <c r="H594" s="14" t="n"/>
      <c r="I594" s="14" t="n"/>
      <c r="J594" s="14" t="n"/>
    </row>
    <row r="595">
      <c r="A595" s="14" t="n"/>
      <c r="B595" s="14" t="n"/>
      <c r="C595" s="14" t="n"/>
      <c r="D595" s="14" t="n"/>
      <c r="E595" s="14" t="n"/>
      <c r="F595" s="14" t="n"/>
      <c r="G595" s="14" t="n"/>
      <c r="H595" s="14" t="n"/>
      <c r="I595" s="14" t="n"/>
      <c r="J595" s="14" t="n"/>
    </row>
    <row r="596">
      <c r="A596" s="14" t="n"/>
      <c r="B596" s="14" t="n"/>
      <c r="C596" s="14" t="n"/>
      <c r="D596" s="14" t="n"/>
      <c r="E596" s="14" t="n"/>
      <c r="F596" s="14" t="n"/>
      <c r="G596" s="14" t="n"/>
      <c r="H596" s="14" t="n"/>
      <c r="I596" s="14" t="n"/>
      <c r="J596" s="14" t="n"/>
    </row>
    <row r="597">
      <c r="A597" s="14" t="n"/>
      <c r="B597" s="14" t="n"/>
      <c r="C597" s="14" t="n"/>
      <c r="D597" s="14" t="n"/>
      <c r="E597" s="14" t="n"/>
      <c r="F597" s="14" t="n"/>
      <c r="G597" s="14" t="n"/>
      <c r="H597" s="14" t="n"/>
      <c r="I597" s="14" t="n"/>
      <c r="J597" s="14" t="n"/>
    </row>
    <row r="598">
      <c r="A598" s="14" t="n"/>
      <c r="B598" s="14" t="n"/>
      <c r="C598" s="14" t="n"/>
      <c r="D598" s="14" t="n"/>
      <c r="E598" s="14" t="n"/>
      <c r="F598" s="14" t="n"/>
      <c r="G598" s="14" t="n"/>
      <c r="H598" s="14" t="n"/>
      <c r="I598" s="14" t="n"/>
      <c r="J598" s="14" t="n"/>
    </row>
    <row r="599">
      <c r="A599" s="14" t="n"/>
      <c r="B599" s="14" t="n"/>
      <c r="C599" s="14" t="n"/>
      <c r="D599" s="14" t="n"/>
      <c r="E599" s="14" t="n"/>
      <c r="F599" s="14" t="n"/>
      <c r="G599" s="14" t="n"/>
      <c r="H599" s="14" t="n"/>
      <c r="I599" s="14" t="n"/>
      <c r="J599" s="14" t="n"/>
    </row>
    <row r="600">
      <c r="A600" s="14" t="n"/>
      <c r="B600" s="14" t="n"/>
      <c r="C600" s="14" t="n"/>
      <c r="D600" s="14" t="n"/>
      <c r="E600" s="14" t="n"/>
      <c r="F600" s="14" t="n"/>
      <c r="G600" s="14" t="n"/>
      <c r="H600" s="14" t="n"/>
      <c r="I600" s="14" t="n"/>
      <c r="J600" s="14" t="n"/>
    </row>
    <row r="601">
      <c r="A601" s="14" t="n"/>
      <c r="B601" s="14" t="n"/>
      <c r="C601" s="14" t="n"/>
      <c r="D601" s="14" t="n"/>
      <c r="E601" s="14" t="n"/>
      <c r="F601" s="14" t="n"/>
      <c r="G601" s="14" t="n"/>
      <c r="H601" s="14" t="n"/>
      <c r="I601" s="14" t="n"/>
      <c r="J601" s="14" t="n"/>
    </row>
  </sheetData>
  <autoFilter ref="A1:J601"/>
  <dataValidations count="1">
    <dataValidation sqref="B2:B601" showDropDown="0" showInputMessage="0" showErrorMessage="0" allowBlank="1" type="list">
      <formula1>=Lists!$E$1:$E$5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23"/>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12" customWidth="1" min="3" max="3"/>
    <col width="13" customWidth="1" min="4" max="4"/>
    <col width="20" customWidth="1" min="5" max="5"/>
    <col width="18" customWidth="1" min="6" max="6"/>
    <col width="16" customWidth="1" min="7" max="7"/>
    <col width="16" customWidth="1" min="8" max="8"/>
    <col width="13" customWidth="1" min="9" max="9"/>
    <col width="13" customWidth="1" min="10" max="10"/>
    <col width="10" customWidth="1" min="11" max="11"/>
    <col width="8" customWidth="1" min="12" max="12"/>
    <col width="9" customWidth="1" min="13" max="13"/>
    <col width="11" customWidth="1" min="14" max="14"/>
    <col width="12" customWidth="1" min="15" max="15"/>
    <col width="9" customWidth="1" min="16" max="16"/>
    <col width="12" customWidth="1" min="17" max="17"/>
    <col width="12" customWidth="1" min="18" max="18"/>
  </cols>
  <sheetData>
    <row r="1">
      <c r="A1" s="12" t="inlineStr">
        <is>
          <t>Prj ID</t>
        </is>
      </c>
      <c r="B1" s="12" t="inlineStr">
        <is>
          <t>Name</t>
        </is>
      </c>
      <c r="C1" s="12" t="inlineStr">
        <is>
          <t>Intake date</t>
        </is>
      </c>
      <c r="D1" s="12" t="inlineStr">
        <is>
          <t>Primary domain</t>
        </is>
      </c>
      <c r="E1" s="12" t="inlineStr">
        <is>
          <t>Domains touched</t>
        </is>
      </c>
      <c r="F1" s="12" t="inlineStr">
        <is>
          <t>Route</t>
        </is>
      </c>
      <c r="G1" s="12" t="inlineStr">
        <is>
          <t>Stage</t>
        </is>
      </c>
      <c r="H1" s="12" t="inlineStr">
        <is>
          <t>Reviewer</t>
        </is>
      </c>
      <c r="I1" s="12" t="inlineStr">
        <is>
          <t>Address assigned</t>
        </is>
      </c>
      <c r="J1" s="12" t="inlineStr">
        <is>
          <t>Days to address</t>
        </is>
      </c>
      <c r="K1" s="12" t="inlineStr">
        <is>
          <t>On time?</t>
        </is>
      </c>
      <c r="L1" s="12" t="inlineStr">
        <is>
          <t>Apps</t>
        </is>
      </c>
      <c r="M1" s="12" t="inlineStr">
        <is>
          <t>Objects</t>
        </is>
      </c>
      <c r="N1" s="12" t="inlineStr">
        <is>
          <t>Interfaces</t>
        </is>
      </c>
      <c r="O1" s="12" t="inlineStr">
        <is>
          <t>Components</t>
        </is>
      </c>
      <c r="P1" s="12" t="inlineStr">
        <is>
          <t>Markets</t>
        </is>
      </c>
      <c r="Q1" s="12" t="inlineStr">
        <is>
          <t>Constraints</t>
        </is>
      </c>
      <c r="R1" s="12" t="inlineStr">
        <is>
          <t>Over ceiling?</t>
        </is>
      </c>
    </row>
    <row r="2">
      <c r="A2" s="13" t="inlineStr">
        <is>
          <t>PRJ-0418</t>
        </is>
      </c>
      <c r="B2" s="13" t="inlineStr">
        <is>
          <t>Supplier onboarding for market D</t>
        </is>
      </c>
      <c r="C2" s="15" t="n">
        <v>46146</v>
      </c>
      <c r="D2" s="13" t="inlineStr">
        <is>
          <t>DOM-03</t>
        </is>
      </c>
      <c r="E2" s="13" t="inlineStr">
        <is>
          <t>DOM-09, legal</t>
        </is>
      </c>
      <c r="F2" s="13" t="inlineStr">
        <is>
          <t>Extend what exists</t>
        </is>
      </c>
      <c r="G2" s="13" t="inlineStr">
        <is>
          <t>Definition</t>
        </is>
      </c>
      <c r="H2" s="13" t="inlineStr">
        <is>
          <t>Named</t>
        </is>
      </c>
      <c r="I2" s="15" t="n">
        <v>46148</v>
      </c>
      <c r="J2" s="16">
        <f>IF(OR(C2="",I2=""),0,I2-C2)</f>
        <v/>
      </c>
      <c r="K2" s="13">
        <f>IF(A2="","",IF(J2&lt;=Settings!$B$5,"yes","LATE"))</f>
        <v/>
      </c>
      <c r="L2" s="17">
        <f>IF(A2="","",COUNTIFS(Landscape!$C$2:$C$601,$D2,Landscape!$B$2:$B$601,"Domain to application"))</f>
        <v/>
      </c>
      <c r="M2" s="17">
        <f>IF(A2="","",COUNTIFS(Landscape!$C$2:$C$601,$D2,Landscape!$B$2:$B$601,"Application to object"))</f>
        <v/>
      </c>
      <c r="N2" s="17">
        <f>IF(A2="","",COUNTIFS(Landscape!$C$2:$C$601,$D2,Landscape!$B$2:$B$601,"Application to interface"))</f>
        <v/>
      </c>
      <c r="O2" s="17">
        <f>IF(A2="","",COUNTIFS(Landscape!$C$2:$C$601,$D2,Landscape!$B$2:$B$601,"Application to component"))</f>
        <v/>
      </c>
      <c r="P2" s="17">
        <f>IF(A2="","",COUNTIFS(Landscape!$C$2:$C$601,$D2,Landscape!$B$2:$B$601,"Application to market"))</f>
        <v/>
      </c>
      <c r="Q2" s="17">
        <f>IF(A2="","",COUNTIF(Constraints!$B$2:$B$201,$A2))</f>
        <v/>
      </c>
      <c r="R2" s="18">
        <f>IF(A2="","",IF(Q2&gt;Settings!$B$4,"OVER","ok"))</f>
        <v/>
      </c>
    </row>
    <row r="3">
      <c r="A3" s="13" t="inlineStr">
        <is>
          <t>PRJ-0421</t>
        </is>
      </c>
      <c r="B3" s="13" t="inlineStr">
        <is>
          <t>Consent capture in the loyalty app</t>
        </is>
      </c>
      <c r="C3" s="15" t="n">
        <v>46153</v>
      </c>
      <c r="D3" s="13" t="inlineStr">
        <is>
          <t>DOM-01</t>
        </is>
      </c>
      <c r="E3" s="13" t="inlineStr">
        <is>
          <t>Marketing</t>
        </is>
      </c>
      <c r="F3" s="13" t="inlineStr">
        <is>
          <t>Build</t>
        </is>
      </c>
      <c r="G3" s="13" t="inlineStr">
        <is>
          <t>Execution</t>
        </is>
      </c>
      <c r="H3" s="13" t="inlineStr">
        <is>
          <t>Named</t>
        </is>
      </c>
      <c r="I3" s="15" t="n">
        <v>46154</v>
      </c>
      <c r="J3" s="16">
        <f>IF(OR(C3="",I3=""),0,I3-C3)</f>
        <v/>
      </c>
      <c r="K3" s="13">
        <f>IF(A3="","",IF(J3&lt;=Settings!$B$5,"yes","LATE"))</f>
        <v/>
      </c>
      <c r="L3" s="17">
        <f>IF(A3="","",COUNTIFS(Landscape!$C$2:$C$601,$D3,Landscape!$B$2:$B$601,"Domain to application"))</f>
        <v/>
      </c>
      <c r="M3" s="17">
        <f>IF(A3="","",COUNTIFS(Landscape!$C$2:$C$601,$D3,Landscape!$B$2:$B$601,"Application to object"))</f>
        <v/>
      </c>
      <c r="N3" s="17">
        <f>IF(A3="","",COUNTIFS(Landscape!$C$2:$C$601,$D3,Landscape!$B$2:$B$601,"Application to interface"))</f>
        <v/>
      </c>
      <c r="O3" s="17">
        <f>IF(A3="","",COUNTIFS(Landscape!$C$2:$C$601,$D3,Landscape!$B$2:$B$601,"Application to component"))</f>
        <v/>
      </c>
      <c r="P3" s="17">
        <f>IF(A3="","",COUNTIFS(Landscape!$C$2:$C$601,$D3,Landscape!$B$2:$B$601,"Application to market"))</f>
        <v/>
      </c>
      <c r="Q3" s="17">
        <f>IF(A3="","",COUNTIF(Constraints!$B$2:$B$201,$A3))</f>
        <v/>
      </c>
      <c r="R3" s="18">
        <f>IF(A3="","",IF(Q3&gt;Settings!$B$4,"OVER","ok"))</f>
        <v/>
      </c>
    </row>
    <row r="4">
      <c r="A4" s="13" t="inlineStr">
        <is>
          <t>PRJ-0426</t>
        </is>
      </c>
      <c r="B4" s="13" t="inlineStr">
        <is>
          <t>Replace the market D warehouse system</t>
        </is>
      </c>
      <c r="C4" s="15" t="n">
        <v>46168</v>
      </c>
      <c r="D4" s="13" t="inlineStr">
        <is>
          <t>DOM-06</t>
        </is>
      </c>
      <c r="E4" s="13" t="inlineStr">
        <is>
          <t>DOM-07</t>
        </is>
      </c>
      <c r="F4" s="13" t="inlineStr">
        <is>
          <t>Buy</t>
        </is>
      </c>
      <c r="G4" s="13" t="inlineStr">
        <is>
          <t>Funding decision</t>
        </is>
      </c>
      <c r="H4" s="13" t="inlineStr">
        <is>
          <t>Named</t>
        </is>
      </c>
      <c r="I4" s="15" t="n">
        <v>46170</v>
      </c>
      <c r="J4" s="16">
        <f>IF(OR(C4="",I4=""),0,I4-C4)</f>
        <v/>
      </c>
      <c r="K4" s="13">
        <f>IF(A4="","",IF(J4&lt;=Settings!$B$5,"yes","LATE"))</f>
        <v/>
      </c>
      <c r="L4" s="17">
        <f>IF(A4="","",COUNTIFS(Landscape!$C$2:$C$601,$D4,Landscape!$B$2:$B$601,"Domain to application"))</f>
        <v/>
      </c>
      <c r="M4" s="17">
        <f>IF(A4="","",COUNTIFS(Landscape!$C$2:$C$601,$D4,Landscape!$B$2:$B$601,"Application to object"))</f>
        <v/>
      </c>
      <c r="N4" s="17">
        <f>IF(A4="","",COUNTIFS(Landscape!$C$2:$C$601,$D4,Landscape!$B$2:$B$601,"Application to interface"))</f>
        <v/>
      </c>
      <c r="O4" s="17">
        <f>IF(A4="","",COUNTIFS(Landscape!$C$2:$C$601,$D4,Landscape!$B$2:$B$601,"Application to component"))</f>
        <v/>
      </c>
      <c r="P4" s="17">
        <f>IF(A4="","",COUNTIFS(Landscape!$C$2:$C$601,$D4,Landscape!$B$2:$B$601,"Application to market"))</f>
        <v/>
      </c>
      <c r="Q4" s="17">
        <f>IF(A4="","",COUNTIF(Constraints!$B$2:$B$201,$A4))</f>
        <v/>
      </c>
      <c r="R4" s="18">
        <f>IF(A4="","",IF(Q4&gt;Settings!$B$4,"OVER","ok"))</f>
        <v/>
      </c>
    </row>
    <row r="5">
      <c r="A5" s="13" t="inlineStr">
        <is>
          <t>PRJ-0430</t>
        </is>
      </c>
      <c r="B5" s="13" t="inlineStr">
        <is>
          <t>Pricing service phase two</t>
        </is>
      </c>
      <c r="C5" s="15" t="n">
        <v>46181</v>
      </c>
      <c r="D5" s="13" t="inlineStr">
        <is>
          <t>DOM-05</t>
        </is>
      </c>
      <c r="E5" s="13" t="inlineStr">
        <is>
          <t>DOM-04</t>
        </is>
      </c>
      <c r="F5" s="13" t="inlineStr">
        <is>
          <t>Build</t>
        </is>
      </c>
      <c r="G5" s="13" t="inlineStr">
        <is>
          <t>Definition</t>
        </is>
      </c>
      <c r="H5" s="13" t="inlineStr">
        <is>
          <t>Named</t>
        </is>
      </c>
      <c r="I5" s="15" t="n">
        <v>46182</v>
      </c>
      <c r="J5" s="16">
        <f>IF(OR(C5="",I5=""),0,I5-C5)</f>
        <v/>
      </c>
      <c r="K5" s="13">
        <f>IF(A5="","",IF(J5&lt;=Settings!$B$5,"yes","LATE"))</f>
        <v/>
      </c>
      <c r="L5" s="17">
        <f>IF(A5="","",COUNTIFS(Landscape!$C$2:$C$601,$D5,Landscape!$B$2:$B$601,"Domain to application"))</f>
        <v/>
      </c>
      <c r="M5" s="17">
        <f>IF(A5="","",COUNTIFS(Landscape!$C$2:$C$601,$D5,Landscape!$B$2:$B$601,"Application to object"))</f>
        <v/>
      </c>
      <c r="N5" s="17">
        <f>IF(A5="","",COUNTIFS(Landscape!$C$2:$C$601,$D5,Landscape!$B$2:$B$601,"Application to interface"))</f>
        <v/>
      </c>
      <c r="O5" s="17">
        <f>IF(A5="","",COUNTIFS(Landscape!$C$2:$C$601,$D5,Landscape!$B$2:$B$601,"Application to component"))</f>
        <v/>
      </c>
      <c r="P5" s="17">
        <f>IF(A5="","",COUNTIFS(Landscape!$C$2:$C$601,$D5,Landscape!$B$2:$B$601,"Application to market"))</f>
        <v/>
      </c>
      <c r="Q5" s="17">
        <f>IF(A5="","",COUNTIF(Constraints!$B$2:$B$201,$A5))</f>
        <v/>
      </c>
      <c r="R5" s="18">
        <f>IF(A5="","",IF(Q5&gt;Settings!$B$4,"OVER","ok"))</f>
        <v/>
      </c>
    </row>
    <row r="6">
      <c r="A6" s="13" t="inlineStr">
        <is>
          <t>PRJ-0433</t>
        </is>
      </c>
      <c r="B6" s="13" t="inlineStr">
        <is>
          <t>Contract repository migration</t>
        </is>
      </c>
      <c r="C6" s="15" t="n">
        <v>46188</v>
      </c>
      <c r="D6" s="13" t="inlineStr">
        <is>
          <t>DOM-03</t>
        </is>
      </c>
      <c r="E6" s="13" t="inlineStr">
        <is>
          <t>DOM-09</t>
        </is>
      </c>
      <c r="F6" s="13" t="inlineStr">
        <is>
          <t>Buy</t>
        </is>
      </c>
      <c r="G6" s="13" t="inlineStr">
        <is>
          <t>Intake</t>
        </is>
      </c>
      <c r="H6" s="13" t="inlineStr">
        <is>
          <t>Named</t>
        </is>
      </c>
      <c r="I6" s="15" t="n">
        <v>46195</v>
      </c>
      <c r="J6" s="16">
        <f>IF(OR(C6="",I6=""),0,I6-C6)</f>
        <v/>
      </c>
      <c r="K6" s="13">
        <f>IF(A6="","",IF(J6&lt;=Settings!$B$5,"yes","LATE"))</f>
        <v/>
      </c>
      <c r="L6" s="17">
        <f>IF(A6="","",COUNTIFS(Landscape!$C$2:$C$601,$D6,Landscape!$B$2:$B$601,"Domain to application"))</f>
        <v/>
      </c>
      <c r="M6" s="17">
        <f>IF(A6="","",COUNTIFS(Landscape!$C$2:$C$601,$D6,Landscape!$B$2:$B$601,"Application to object"))</f>
        <v/>
      </c>
      <c r="N6" s="17">
        <f>IF(A6="","",COUNTIFS(Landscape!$C$2:$C$601,$D6,Landscape!$B$2:$B$601,"Application to interface"))</f>
        <v/>
      </c>
      <c r="O6" s="17">
        <f>IF(A6="","",COUNTIFS(Landscape!$C$2:$C$601,$D6,Landscape!$B$2:$B$601,"Application to component"))</f>
        <v/>
      </c>
      <c r="P6" s="17">
        <f>IF(A6="","",COUNTIFS(Landscape!$C$2:$C$601,$D6,Landscape!$B$2:$B$601,"Application to market"))</f>
        <v/>
      </c>
      <c r="Q6" s="17">
        <f>IF(A6="","",COUNTIF(Constraints!$B$2:$B$201,$A6))</f>
        <v/>
      </c>
      <c r="R6" s="18">
        <f>IF(A6="","",IF(Q6&gt;Settings!$B$4,"OVER","ok"))</f>
        <v/>
      </c>
    </row>
    <row r="7">
      <c r="A7" s="19" t="n"/>
      <c r="B7" s="19" t="n"/>
      <c r="C7" s="19" t="n"/>
      <c r="D7" s="19" t="n"/>
      <c r="E7" s="19" t="n"/>
      <c r="F7" s="19" t="n"/>
      <c r="G7" s="19" t="n"/>
      <c r="H7" s="19" t="n"/>
      <c r="I7" s="19" t="n"/>
      <c r="J7" s="16">
        <f>IF(OR(C7="",I7=""),0,I7-C7)</f>
        <v/>
      </c>
      <c r="K7" s="13">
        <f>IF(A7="","",IF(J7&lt;=Settings!$B$5,"yes","LATE"))</f>
        <v/>
      </c>
      <c r="L7" s="17">
        <f>IF(A7="","",COUNTIFS(Landscape!$C$2:$C$601,$D7,Landscape!$B$2:$B$601,"Domain to application"))</f>
        <v/>
      </c>
      <c r="M7" s="17">
        <f>IF(A7="","",COUNTIFS(Landscape!$C$2:$C$601,$D7,Landscape!$B$2:$B$601,"Application to object"))</f>
        <v/>
      </c>
      <c r="N7" s="17">
        <f>IF(A7="","",COUNTIFS(Landscape!$C$2:$C$601,$D7,Landscape!$B$2:$B$601,"Application to interface"))</f>
        <v/>
      </c>
      <c r="O7" s="17">
        <f>IF(A7="","",COUNTIFS(Landscape!$C$2:$C$601,$D7,Landscape!$B$2:$B$601,"Application to component"))</f>
        <v/>
      </c>
      <c r="P7" s="17">
        <f>IF(A7="","",COUNTIFS(Landscape!$C$2:$C$601,$D7,Landscape!$B$2:$B$601,"Application to market"))</f>
        <v/>
      </c>
      <c r="Q7" s="17">
        <f>IF(A7="","",COUNTIF(Constraints!$B$2:$B$201,$A7))</f>
        <v/>
      </c>
      <c r="R7" s="18">
        <f>IF(A7="","",IF(Q7&gt;Settings!$B$4,"OVER","ok"))</f>
        <v/>
      </c>
    </row>
    <row r="8">
      <c r="A8" s="19" t="n"/>
      <c r="B8" s="19" t="n"/>
      <c r="C8" s="19" t="n"/>
      <c r="D8" s="19" t="n"/>
      <c r="E8" s="19" t="n"/>
      <c r="F8" s="19" t="n"/>
      <c r="G8" s="19" t="n"/>
      <c r="H8" s="19" t="n"/>
      <c r="I8" s="19" t="n"/>
      <c r="J8" s="16">
        <f>IF(OR(C8="",I8=""),0,I8-C8)</f>
        <v/>
      </c>
      <c r="K8" s="13">
        <f>IF(A8="","",IF(J8&lt;=Settings!$B$5,"yes","LATE"))</f>
        <v/>
      </c>
      <c r="L8" s="17">
        <f>IF(A8="","",COUNTIFS(Landscape!$C$2:$C$601,$D8,Landscape!$B$2:$B$601,"Domain to application"))</f>
        <v/>
      </c>
      <c r="M8" s="17">
        <f>IF(A8="","",COUNTIFS(Landscape!$C$2:$C$601,$D8,Landscape!$B$2:$B$601,"Application to object"))</f>
        <v/>
      </c>
      <c r="N8" s="17">
        <f>IF(A8="","",COUNTIFS(Landscape!$C$2:$C$601,$D8,Landscape!$B$2:$B$601,"Application to interface"))</f>
        <v/>
      </c>
      <c r="O8" s="17">
        <f>IF(A8="","",COUNTIFS(Landscape!$C$2:$C$601,$D8,Landscape!$B$2:$B$601,"Application to component"))</f>
        <v/>
      </c>
      <c r="P8" s="17">
        <f>IF(A8="","",COUNTIFS(Landscape!$C$2:$C$601,$D8,Landscape!$B$2:$B$601,"Application to market"))</f>
        <v/>
      </c>
      <c r="Q8" s="17">
        <f>IF(A8="","",COUNTIF(Constraints!$B$2:$B$201,$A8))</f>
        <v/>
      </c>
      <c r="R8" s="18">
        <f>IF(A8="","",IF(Q8&gt;Settings!$B$4,"OVER","ok"))</f>
        <v/>
      </c>
    </row>
    <row r="9">
      <c r="A9" s="19" t="n"/>
      <c r="B9" s="19" t="n"/>
      <c r="C9" s="19" t="n"/>
      <c r="D9" s="19" t="n"/>
      <c r="E9" s="19" t="n"/>
      <c r="F9" s="19" t="n"/>
      <c r="G9" s="19" t="n"/>
      <c r="H9" s="19" t="n"/>
      <c r="I9" s="19" t="n"/>
      <c r="J9" s="16">
        <f>IF(OR(C9="",I9=""),0,I9-C9)</f>
        <v/>
      </c>
      <c r="K9" s="13">
        <f>IF(A9="","",IF(J9&lt;=Settings!$B$5,"yes","LATE"))</f>
        <v/>
      </c>
      <c r="L9" s="17">
        <f>IF(A9="","",COUNTIFS(Landscape!$C$2:$C$601,$D9,Landscape!$B$2:$B$601,"Domain to application"))</f>
        <v/>
      </c>
      <c r="M9" s="17">
        <f>IF(A9="","",COUNTIFS(Landscape!$C$2:$C$601,$D9,Landscape!$B$2:$B$601,"Application to object"))</f>
        <v/>
      </c>
      <c r="N9" s="17">
        <f>IF(A9="","",COUNTIFS(Landscape!$C$2:$C$601,$D9,Landscape!$B$2:$B$601,"Application to interface"))</f>
        <v/>
      </c>
      <c r="O9" s="17">
        <f>IF(A9="","",COUNTIFS(Landscape!$C$2:$C$601,$D9,Landscape!$B$2:$B$601,"Application to component"))</f>
        <v/>
      </c>
      <c r="P9" s="17">
        <f>IF(A9="","",COUNTIFS(Landscape!$C$2:$C$601,$D9,Landscape!$B$2:$B$601,"Application to market"))</f>
        <v/>
      </c>
      <c r="Q9" s="17">
        <f>IF(A9="","",COUNTIF(Constraints!$B$2:$B$201,$A9))</f>
        <v/>
      </c>
      <c r="R9" s="18">
        <f>IF(A9="","",IF(Q9&gt;Settings!$B$4,"OVER","ok"))</f>
        <v/>
      </c>
    </row>
    <row r="10">
      <c r="A10" s="19" t="n"/>
      <c r="B10" s="19" t="n"/>
      <c r="C10" s="19" t="n"/>
      <c r="D10" s="19" t="n"/>
      <c r="E10" s="19" t="n"/>
      <c r="F10" s="19" t="n"/>
      <c r="G10" s="19" t="n"/>
      <c r="H10" s="19" t="n"/>
      <c r="I10" s="19" t="n"/>
      <c r="J10" s="16">
        <f>IF(OR(C10="",I10=""),0,I10-C10)</f>
        <v/>
      </c>
      <c r="K10" s="13">
        <f>IF(A10="","",IF(J10&lt;=Settings!$B$5,"yes","LATE"))</f>
        <v/>
      </c>
      <c r="L10" s="17">
        <f>IF(A10="","",COUNTIFS(Landscape!$C$2:$C$601,$D10,Landscape!$B$2:$B$601,"Domain to application"))</f>
        <v/>
      </c>
      <c r="M10" s="17">
        <f>IF(A10="","",COUNTIFS(Landscape!$C$2:$C$601,$D10,Landscape!$B$2:$B$601,"Application to object"))</f>
        <v/>
      </c>
      <c r="N10" s="17">
        <f>IF(A10="","",COUNTIFS(Landscape!$C$2:$C$601,$D10,Landscape!$B$2:$B$601,"Application to interface"))</f>
        <v/>
      </c>
      <c r="O10" s="17">
        <f>IF(A10="","",COUNTIFS(Landscape!$C$2:$C$601,$D10,Landscape!$B$2:$B$601,"Application to component"))</f>
        <v/>
      </c>
      <c r="P10" s="17">
        <f>IF(A10="","",COUNTIFS(Landscape!$C$2:$C$601,$D10,Landscape!$B$2:$B$601,"Application to market"))</f>
        <v/>
      </c>
      <c r="Q10" s="17">
        <f>IF(A10="","",COUNTIF(Constraints!$B$2:$B$201,$A10))</f>
        <v/>
      </c>
      <c r="R10" s="18">
        <f>IF(A10="","",IF(Q10&gt;Settings!$B$4,"OVER","ok"))</f>
        <v/>
      </c>
    </row>
    <row r="11">
      <c r="A11" s="19" t="n"/>
      <c r="B11" s="19" t="n"/>
      <c r="C11" s="19" t="n"/>
      <c r="D11" s="19" t="n"/>
      <c r="E11" s="19" t="n"/>
      <c r="F11" s="19" t="n"/>
      <c r="G11" s="19" t="n"/>
      <c r="H11" s="19" t="n"/>
      <c r="I11" s="19" t="n"/>
      <c r="J11" s="16">
        <f>IF(OR(C11="",I11=""),0,I11-C11)</f>
        <v/>
      </c>
      <c r="K11" s="13">
        <f>IF(A11="","",IF(J11&lt;=Settings!$B$5,"yes","LATE"))</f>
        <v/>
      </c>
      <c r="L11" s="17">
        <f>IF(A11="","",COUNTIFS(Landscape!$C$2:$C$601,$D11,Landscape!$B$2:$B$601,"Domain to application"))</f>
        <v/>
      </c>
      <c r="M11" s="17">
        <f>IF(A11="","",COUNTIFS(Landscape!$C$2:$C$601,$D11,Landscape!$B$2:$B$601,"Application to object"))</f>
        <v/>
      </c>
      <c r="N11" s="17">
        <f>IF(A11="","",COUNTIFS(Landscape!$C$2:$C$601,$D11,Landscape!$B$2:$B$601,"Application to interface"))</f>
        <v/>
      </c>
      <c r="O11" s="17">
        <f>IF(A11="","",COUNTIFS(Landscape!$C$2:$C$601,$D11,Landscape!$B$2:$B$601,"Application to component"))</f>
        <v/>
      </c>
      <c r="P11" s="17">
        <f>IF(A11="","",COUNTIFS(Landscape!$C$2:$C$601,$D11,Landscape!$B$2:$B$601,"Application to market"))</f>
        <v/>
      </c>
      <c r="Q11" s="17">
        <f>IF(A11="","",COUNTIF(Constraints!$B$2:$B$201,$A11))</f>
        <v/>
      </c>
      <c r="R11" s="18">
        <f>IF(A11="","",IF(Q11&gt;Settings!$B$4,"OVER","ok"))</f>
        <v/>
      </c>
    </row>
    <row r="12">
      <c r="A12" s="19" t="n"/>
      <c r="B12" s="19" t="n"/>
      <c r="C12" s="19" t="n"/>
      <c r="D12" s="19" t="n"/>
      <c r="E12" s="19" t="n"/>
      <c r="F12" s="19" t="n"/>
      <c r="G12" s="19" t="n"/>
      <c r="H12" s="19" t="n"/>
      <c r="I12" s="19" t="n"/>
      <c r="J12" s="16">
        <f>IF(OR(C12="",I12=""),0,I12-C12)</f>
        <v/>
      </c>
      <c r="K12" s="13">
        <f>IF(A12="","",IF(J12&lt;=Settings!$B$5,"yes","LATE"))</f>
        <v/>
      </c>
      <c r="L12" s="17">
        <f>IF(A12="","",COUNTIFS(Landscape!$C$2:$C$601,$D12,Landscape!$B$2:$B$601,"Domain to application"))</f>
        <v/>
      </c>
      <c r="M12" s="17">
        <f>IF(A12="","",COUNTIFS(Landscape!$C$2:$C$601,$D12,Landscape!$B$2:$B$601,"Application to object"))</f>
        <v/>
      </c>
      <c r="N12" s="17">
        <f>IF(A12="","",COUNTIFS(Landscape!$C$2:$C$601,$D12,Landscape!$B$2:$B$601,"Application to interface"))</f>
        <v/>
      </c>
      <c r="O12" s="17">
        <f>IF(A12="","",COUNTIFS(Landscape!$C$2:$C$601,$D12,Landscape!$B$2:$B$601,"Application to component"))</f>
        <v/>
      </c>
      <c r="P12" s="17">
        <f>IF(A12="","",COUNTIFS(Landscape!$C$2:$C$601,$D12,Landscape!$B$2:$B$601,"Application to market"))</f>
        <v/>
      </c>
      <c r="Q12" s="17">
        <f>IF(A12="","",COUNTIF(Constraints!$B$2:$B$201,$A12))</f>
        <v/>
      </c>
      <c r="R12" s="18">
        <f>IF(A12="","",IF(Q12&gt;Settings!$B$4,"OVER","ok"))</f>
        <v/>
      </c>
    </row>
    <row r="13">
      <c r="A13" s="19" t="n"/>
      <c r="B13" s="19" t="n"/>
      <c r="C13" s="19" t="n"/>
      <c r="D13" s="19" t="n"/>
      <c r="E13" s="19" t="n"/>
      <c r="F13" s="19" t="n"/>
      <c r="G13" s="19" t="n"/>
      <c r="H13" s="19" t="n"/>
      <c r="I13" s="19" t="n"/>
      <c r="J13" s="16">
        <f>IF(OR(C13="",I13=""),0,I13-C13)</f>
        <v/>
      </c>
      <c r="K13" s="13">
        <f>IF(A13="","",IF(J13&lt;=Settings!$B$5,"yes","LATE"))</f>
        <v/>
      </c>
      <c r="L13" s="17">
        <f>IF(A13="","",COUNTIFS(Landscape!$C$2:$C$601,$D13,Landscape!$B$2:$B$601,"Domain to application"))</f>
        <v/>
      </c>
      <c r="M13" s="17">
        <f>IF(A13="","",COUNTIFS(Landscape!$C$2:$C$601,$D13,Landscape!$B$2:$B$601,"Application to object"))</f>
        <v/>
      </c>
      <c r="N13" s="17">
        <f>IF(A13="","",COUNTIFS(Landscape!$C$2:$C$601,$D13,Landscape!$B$2:$B$601,"Application to interface"))</f>
        <v/>
      </c>
      <c r="O13" s="17">
        <f>IF(A13="","",COUNTIFS(Landscape!$C$2:$C$601,$D13,Landscape!$B$2:$B$601,"Application to component"))</f>
        <v/>
      </c>
      <c r="P13" s="17">
        <f>IF(A13="","",COUNTIFS(Landscape!$C$2:$C$601,$D13,Landscape!$B$2:$B$601,"Application to market"))</f>
        <v/>
      </c>
      <c r="Q13" s="17">
        <f>IF(A13="","",COUNTIF(Constraints!$B$2:$B$201,$A13))</f>
        <v/>
      </c>
      <c r="R13" s="18">
        <f>IF(A13="","",IF(Q13&gt;Settings!$B$4,"OVER","ok"))</f>
        <v/>
      </c>
    </row>
    <row r="14">
      <c r="A14" s="19" t="n"/>
      <c r="B14" s="19" t="n"/>
      <c r="C14" s="19" t="n"/>
      <c r="D14" s="19" t="n"/>
      <c r="E14" s="19" t="n"/>
      <c r="F14" s="19" t="n"/>
      <c r="G14" s="19" t="n"/>
      <c r="H14" s="19" t="n"/>
      <c r="I14" s="19" t="n"/>
      <c r="J14" s="16">
        <f>IF(OR(C14="",I14=""),0,I14-C14)</f>
        <v/>
      </c>
      <c r="K14" s="13">
        <f>IF(A14="","",IF(J14&lt;=Settings!$B$5,"yes","LATE"))</f>
        <v/>
      </c>
      <c r="L14" s="17">
        <f>IF(A14="","",COUNTIFS(Landscape!$C$2:$C$601,$D14,Landscape!$B$2:$B$601,"Domain to application"))</f>
        <v/>
      </c>
      <c r="M14" s="17">
        <f>IF(A14="","",COUNTIFS(Landscape!$C$2:$C$601,$D14,Landscape!$B$2:$B$601,"Application to object"))</f>
        <v/>
      </c>
      <c r="N14" s="17">
        <f>IF(A14="","",COUNTIFS(Landscape!$C$2:$C$601,$D14,Landscape!$B$2:$B$601,"Application to interface"))</f>
        <v/>
      </c>
      <c r="O14" s="17">
        <f>IF(A14="","",COUNTIFS(Landscape!$C$2:$C$601,$D14,Landscape!$B$2:$B$601,"Application to component"))</f>
        <v/>
      </c>
      <c r="P14" s="17">
        <f>IF(A14="","",COUNTIFS(Landscape!$C$2:$C$601,$D14,Landscape!$B$2:$B$601,"Application to market"))</f>
        <v/>
      </c>
      <c r="Q14" s="17">
        <f>IF(A14="","",COUNTIF(Constraints!$B$2:$B$201,$A14))</f>
        <v/>
      </c>
      <c r="R14" s="18">
        <f>IF(A14="","",IF(Q14&gt;Settings!$B$4,"OVER","ok"))</f>
        <v/>
      </c>
    </row>
    <row r="15">
      <c r="A15" s="19" t="n"/>
      <c r="B15" s="19" t="n"/>
      <c r="C15" s="19" t="n"/>
      <c r="D15" s="19" t="n"/>
      <c r="E15" s="19" t="n"/>
      <c r="F15" s="19" t="n"/>
      <c r="G15" s="19" t="n"/>
      <c r="H15" s="19" t="n"/>
      <c r="I15" s="19" t="n"/>
      <c r="J15" s="16">
        <f>IF(OR(C15="",I15=""),0,I15-C15)</f>
        <v/>
      </c>
      <c r="K15" s="13">
        <f>IF(A15="","",IF(J15&lt;=Settings!$B$5,"yes","LATE"))</f>
        <v/>
      </c>
      <c r="L15" s="17">
        <f>IF(A15="","",COUNTIFS(Landscape!$C$2:$C$601,$D15,Landscape!$B$2:$B$601,"Domain to application"))</f>
        <v/>
      </c>
      <c r="M15" s="17">
        <f>IF(A15="","",COUNTIFS(Landscape!$C$2:$C$601,$D15,Landscape!$B$2:$B$601,"Application to object"))</f>
        <v/>
      </c>
      <c r="N15" s="17">
        <f>IF(A15="","",COUNTIFS(Landscape!$C$2:$C$601,$D15,Landscape!$B$2:$B$601,"Application to interface"))</f>
        <v/>
      </c>
      <c r="O15" s="17">
        <f>IF(A15="","",COUNTIFS(Landscape!$C$2:$C$601,$D15,Landscape!$B$2:$B$601,"Application to component"))</f>
        <v/>
      </c>
      <c r="P15" s="17">
        <f>IF(A15="","",COUNTIFS(Landscape!$C$2:$C$601,$D15,Landscape!$B$2:$B$601,"Application to market"))</f>
        <v/>
      </c>
      <c r="Q15" s="17">
        <f>IF(A15="","",COUNTIF(Constraints!$B$2:$B$201,$A15))</f>
        <v/>
      </c>
      <c r="R15" s="18">
        <f>IF(A15="","",IF(Q15&gt;Settings!$B$4,"OVER","ok"))</f>
        <v/>
      </c>
    </row>
    <row r="16">
      <c r="A16" s="19" t="n"/>
      <c r="B16" s="19" t="n"/>
      <c r="C16" s="19" t="n"/>
      <c r="D16" s="19" t="n"/>
      <c r="E16" s="19" t="n"/>
      <c r="F16" s="19" t="n"/>
      <c r="G16" s="19" t="n"/>
      <c r="H16" s="19" t="n"/>
      <c r="I16" s="19" t="n"/>
      <c r="J16" s="16">
        <f>IF(OR(C16="",I16=""),0,I16-C16)</f>
        <v/>
      </c>
      <c r="K16" s="13">
        <f>IF(A16="","",IF(J16&lt;=Settings!$B$5,"yes","LATE"))</f>
        <v/>
      </c>
      <c r="L16" s="17">
        <f>IF(A16="","",COUNTIFS(Landscape!$C$2:$C$601,$D16,Landscape!$B$2:$B$601,"Domain to application"))</f>
        <v/>
      </c>
      <c r="M16" s="17">
        <f>IF(A16="","",COUNTIFS(Landscape!$C$2:$C$601,$D16,Landscape!$B$2:$B$601,"Application to object"))</f>
        <v/>
      </c>
      <c r="N16" s="17">
        <f>IF(A16="","",COUNTIFS(Landscape!$C$2:$C$601,$D16,Landscape!$B$2:$B$601,"Application to interface"))</f>
        <v/>
      </c>
      <c r="O16" s="17">
        <f>IF(A16="","",COUNTIFS(Landscape!$C$2:$C$601,$D16,Landscape!$B$2:$B$601,"Application to component"))</f>
        <v/>
      </c>
      <c r="P16" s="17">
        <f>IF(A16="","",COUNTIFS(Landscape!$C$2:$C$601,$D16,Landscape!$B$2:$B$601,"Application to market"))</f>
        <v/>
      </c>
      <c r="Q16" s="17">
        <f>IF(A16="","",COUNTIF(Constraints!$B$2:$B$201,$A16))</f>
        <v/>
      </c>
      <c r="R16" s="18">
        <f>IF(A16="","",IF(Q16&gt;Settings!$B$4,"OVER","ok"))</f>
        <v/>
      </c>
    </row>
    <row r="17">
      <c r="A17" s="19" t="n"/>
      <c r="B17" s="19" t="n"/>
      <c r="C17" s="19" t="n"/>
      <c r="D17" s="19" t="n"/>
      <c r="E17" s="19" t="n"/>
      <c r="F17" s="19" t="n"/>
      <c r="G17" s="19" t="n"/>
      <c r="H17" s="19" t="n"/>
      <c r="I17" s="19" t="n"/>
      <c r="J17" s="16">
        <f>IF(OR(C17="",I17=""),0,I17-C17)</f>
        <v/>
      </c>
      <c r="K17" s="13">
        <f>IF(A17="","",IF(J17&lt;=Settings!$B$5,"yes","LATE"))</f>
        <v/>
      </c>
      <c r="L17" s="17">
        <f>IF(A17="","",COUNTIFS(Landscape!$C$2:$C$601,$D17,Landscape!$B$2:$B$601,"Domain to application"))</f>
        <v/>
      </c>
      <c r="M17" s="17">
        <f>IF(A17="","",COUNTIFS(Landscape!$C$2:$C$601,$D17,Landscape!$B$2:$B$601,"Application to object"))</f>
        <v/>
      </c>
      <c r="N17" s="17">
        <f>IF(A17="","",COUNTIFS(Landscape!$C$2:$C$601,$D17,Landscape!$B$2:$B$601,"Application to interface"))</f>
        <v/>
      </c>
      <c r="O17" s="17">
        <f>IF(A17="","",COUNTIFS(Landscape!$C$2:$C$601,$D17,Landscape!$B$2:$B$601,"Application to component"))</f>
        <v/>
      </c>
      <c r="P17" s="17">
        <f>IF(A17="","",COUNTIFS(Landscape!$C$2:$C$601,$D17,Landscape!$B$2:$B$601,"Application to market"))</f>
        <v/>
      </c>
      <c r="Q17" s="17">
        <f>IF(A17="","",COUNTIF(Constraints!$B$2:$B$201,$A17))</f>
        <v/>
      </c>
      <c r="R17" s="18">
        <f>IF(A17="","",IF(Q17&gt;Settings!$B$4,"OVER","ok"))</f>
        <v/>
      </c>
    </row>
    <row r="18">
      <c r="A18" s="19" t="n"/>
      <c r="B18" s="19" t="n"/>
      <c r="C18" s="19" t="n"/>
      <c r="D18" s="19" t="n"/>
      <c r="E18" s="19" t="n"/>
      <c r="F18" s="19" t="n"/>
      <c r="G18" s="19" t="n"/>
      <c r="H18" s="19" t="n"/>
      <c r="I18" s="19" t="n"/>
      <c r="J18" s="16">
        <f>IF(OR(C18="",I18=""),0,I18-C18)</f>
        <v/>
      </c>
      <c r="K18" s="13">
        <f>IF(A18="","",IF(J18&lt;=Settings!$B$5,"yes","LATE"))</f>
        <v/>
      </c>
      <c r="L18" s="17">
        <f>IF(A18="","",COUNTIFS(Landscape!$C$2:$C$601,$D18,Landscape!$B$2:$B$601,"Domain to application"))</f>
        <v/>
      </c>
      <c r="M18" s="17">
        <f>IF(A18="","",COUNTIFS(Landscape!$C$2:$C$601,$D18,Landscape!$B$2:$B$601,"Application to object"))</f>
        <v/>
      </c>
      <c r="N18" s="17">
        <f>IF(A18="","",COUNTIFS(Landscape!$C$2:$C$601,$D18,Landscape!$B$2:$B$601,"Application to interface"))</f>
        <v/>
      </c>
      <c r="O18" s="17">
        <f>IF(A18="","",COUNTIFS(Landscape!$C$2:$C$601,$D18,Landscape!$B$2:$B$601,"Application to component"))</f>
        <v/>
      </c>
      <c r="P18" s="17">
        <f>IF(A18="","",COUNTIFS(Landscape!$C$2:$C$601,$D18,Landscape!$B$2:$B$601,"Application to market"))</f>
        <v/>
      </c>
      <c r="Q18" s="17">
        <f>IF(A18="","",COUNTIF(Constraints!$B$2:$B$201,$A18))</f>
        <v/>
      </c>
      <c r="R18" s="18">
        <f>IF(A18="","",IF(Q18&gt;Settings!$B$4,"OVER","ok"))</f>
        <v/>
      </c>
    </row>
    <row r="19">
      <c r="A19" s="19" t="n"/>
      <c r="B19" s="19" t="n"/>
      <c r="C19" s="19" t="n"/>
      <c r="D19" s="19" t="n"/>
      <c r="E19" s="19" t="n"/>
      <c r="F19" s="19" t="n"/>
      <c r="G19" s="19" t="n"/>
      <c r="H19" s="19" t="n"/>
      <c r="I19" s="19" t="n"/>
      <c r="J19" s="16">
        <f>IF(OR(C19="",I19=""),0,I19-C19)</f>
        <v/>
      </c>
      <c r="K19" s="13">
        <f>IF(A19="","",IF(J19&lt;=Settings!$B$5,"yes","LATE"))</f>
        <v/>
      </c>
      <c r="L19" s="17">
        <f>IF(A19="","",COUNTIFS(Landscape!$C$2:$C$601,$D19,Landscape!$B$2:$B$601,"Domain to application"))</f>
        <v/>
      </c>
      <c r="M19" s="17">
        <f>IF(A19="","",COUNTIFS(Landscape!$C$2:$C$601,$D19,Landscape!$B$2:$B$601,"Application to object"))</f>
        <v/>
      </c>
      <c r="N19" s="17">
        <f>IF(A19="","",COUNTIFS(Landscape!$C$2:$C$601,$D19,Landscape!$B$2:$B$601,"Application to interface"))</f>
        <v/>
      </c>
      <c r="O19" s="17">
        <f>IF(A19="","",COUNTIFS(Landscape!$C$2:$C$601,$D19,Landscape!$B$2:$B$601,"Application to component"))</f>
        <v/>
      </c>
      <c r="P19" s="17">
        <f>IF(A19="","",COUNTIFS(Landscape!$C$2:$C$601,$D19,Landscape!$B$2:$B$601,"Application to market"))</f>
        <v/>
      </c>
      <c r="Q19" s="17">
        <f>IF(A19="","",COUNTIF(Constraints!$B$2:$B$201,$A19))</f>
        <v/>
      </c>
      <c r="R19" s="18">
        <f>IF(A19="","",IF(Q19&gt;Settings!$B$4,"OVER","ok"))</f>
        <v/>
      </c>
    </row>
    <row r="20">
      <c r="A20" s="19" t="n"/>
      <c r="B20" s="19" t="n"/>
      <c r="C20" s="19" t="n"/>
      <c r="D20" s="19" t="n"/>
      <c r="E20" s="19" t="n"/>
      <c r="F20" s="19" t="n"/>
      <c r="G20" s="19" t="n"/>
      <c r="H20" s="19" t="n"/>
      <c r="I20" s="19" t="n"/>
      <c r="J20" s="16">
        <f>IF(OR(C20="",I20=""),0,I20-C20)</f>
        <v/>
      </c>
      <c r="K20" s="13">
        <f>IF(A20="","",IF(J20&lt;=Settings!$B$5,"yes","LATE"))</f>
        <v/>
      </c>
      <c r="L20" s="17">
        <f>IF(A20="","",COUNTIFS(Landscape!$C$2:$C$601,$D20,Landscape!$B$2:$B$601,"Domain to application"))</f>
        <v/>
      </c>
      <c r="M20" s="17">
        <f>IF(A20="","",COUNTIFS(Landscape!$C$2:$C$601,$D20,Landscape!$B$2:$B$601,"Application to object"))</f>
        <v/>
      </c>
      <c r="N20" s="17">
        <f>IF(A20="","",COUNTIFS(Landscape!$C$2:$C$601,$D20,Landscape!$B$2:$B$601,"Application to interface"))</f>
        <v/>
      </c>
      <c r="O20" s="17">
        <f>IF(A20="","",COUNTIFS(Landscape!$C$2:$C$601,$D20,Landscape!$B$2:$B$601,"Application to component"))</f>
        <v/>
      </c>
      <c r="P20" s="17">
        <f>IF(A20="","",COUNTIFS(Landscape!$C$2:$C$601,$D20,Landscape!$B$2:$B$601,"Application to market"))</f>
        <v/>
      </c>
      <c r="Q20" s="17">
        <f>IF(A20="","",COUNTIF(Constraints!$B$2:$B$201,$A20))</f>
        <v/>
      </c>
      <c r="R20" s="18">
        <f>IF(A20="","",IF(Q20&gt;Settings!$B$4,"OVER","ok"))</f>
        <v/>
      </c>
    </row>
    <row r="21">
      <c r="A21" s="19" t="n"/>
      <c r="B21" s="19" t="n"/>
      <c r="C21" s="19" t="n"/>
      <c r="D21" s="19" t="n"/>
      <c r="E21" s="19" t="n"/>
      <c r="F21" s="19" t="n"/>
      <c r="G21" s="19" t="n"/>
      <c r="H21" s="19" t="n"/>
      <c r="I21" s="19" t="n"/>
      <c r="J21" s="16">
        <f>IF(OR(C21="",I21=""),0,I21-C21)</f>
        <v/>
      </c>
      <c r="K21" s="13">
        <f>IF(A21="","",IF(J21&lt;=Settings!$B$5,"yes","LATE"))</f>
        <v/>
      </c>
      <c r="L21" s="17">
        <f>IF(A21="","",COUNTIFS(Landscape!$C$2:$C$601,$D21,Landscape!$B$2:$B$601,"Domain to application"))</f>
        <v/>
      </c>
      <c r="M21" s="17">
        <f>IF(A21="","",COUNTIFS(Landscape!$C$2:$C$601,$D21,Landscape!$B$2:$B$601,"Application to object"))</f>
        <v/>
      </c>
      <c r="N21" s="17">
        <f>IF(A21="","",COUNTIFS(Landscape!$C$2:$C$601,$D21,Landscape!$B$2:$B$601,"Application to interface"))</f>
        <v/>
      </c>
      <c r="O21" s="17">
        <f>IF(A21="","",COUNTIFS(Landscape!$C$2:$C$601,$D21,Landscape!$B$2:$B$601,"Application to component"))</f>
        <v/>
      </c>
      <c r="P21" s="17">
        <f>IF(A21="","",COUNTIFS(Landscape!$C$2:$C$601,$D21,Landscape!$B$2:$B$601,"Application to market"))</f>
        <v/>
      </c>
      <c r="Q21" s="17">
        <f>IF(A21="","",COUNTIF(Constraints!$B$2:$B$201,$A21))</f>
        <v/>
      </c>
      <c r="R21" s="18">
        <f>IF(A21="","",IF(Q21&gt;Settings!$B$4,"OVER","ok"))</f>
        <v/>
      </c>
    </row>
    <row r="22">
      <c r="A22" s="19" t="n"/>
      <c r="B22" s="19" t="n"/>
      <c r="C22" s="19" t="n"/>
      <c r="D22" s="19" t="n"/>
      <c r="E22" s="19" t="n"/>
      <c r="F22" s="19" t="n"/>
      <c r="G22" s="19" t="n"/>
      <c r="H22" s="19" t="n"/>
      <c r="I22" s="19" t="n"/>
      <c r="J22" s="16">
        <f>IF(OR(C22="",I22=""),0,I22-C22)</f>
        <v/>
      </c>
      <c r="K22" s="13">
        <f>IF(A22="","",IF(J22&lt;=Settings!$B$5,"yes","LATE"))</f>
        <v/>
      </c>
      <c r="L22" s="17">
        <f>IF(A22="","",COUNTIFS(Landscape!$C$2:$C$601,$D22,Landscape!$B$2:$B$601,"Domain to application"))</f>
        <v/>
      </c>
      <c r="M22" s="17">
        <f>IF(A22="","",COUNTIFS(Landscape!$C$2:$C$601,$D22,Landscape!$B$2:$B$601,"Application to object"))</f>
        <v/>
      </c>
      <c r="N22" s="17">
        <f>IF(A22="","",COUNTIFS(Landscape!$C$2:$C$601,$D22,Landscape!$B$2:$B$601,"Application to interface"))</f>
        <v/>
      </c>
      <c r="O22" s="17">
        <f>IF(A22="","",COUNTIFS(Landscape!$C$2:$C$601,$D22,Landscape!$B$2:$B$601,"Application to component"))</f>
        <v/>
      </c>
      <c r="P22" s="17">
        <f>IF(A22="","",COUNTIFS(Landscape!$C$2:$C$601,$D22,Landscape!$B$2:$B$601,"Application to market"))</f>
        <v/>
      </c>
      <c r="Q22" s="17">
        <f>IF(A22="","",COUNTIF(Constraints!$B$2:$B$201,$A22))</f>
        <v/>
      </c>
      <c r="R22" s="18">
        <f>IF(A22="","",IF(Q22&gt;Settings!$B$4,"OVER","ok"))</f>
        <v/>
      </c>
    </row>
    <row r="23">
      <c r="A23" s="19" t="n"/>
      <c r="B23" s="19" t="n"/>
      <c r="C23" s="19" t="n"/>
      <c r="D23" s="19" t="n"/>
      <c r="E23" s="19" t="n"/>
      <c r="F23" s="19" t="n"/>
      <c r="G23" s="19" t="n"/>
      <c r="H23" s="19" t="n"/>
      <c r="I23" s="19" t="n"/>
      <c r="J23" s="16">
        <f>IF(OR(C23="",I23=""),0,I23-C23)</f>
        <v/>
      </c>
      <c r="K23" s="13">
        <f>IF(A23="","",IF(J23&lt;=Settings!$B$5,"yes","LATE"))</f>
        <v/>
      </c>
      <c r="L23" s="17">
        <f>IF(A23="","",COUNTIFS(Landscape!$C$2:$C$601,$D23,Landscape!$B$2:$B$601,"Domain to application"))</f>
        <v/>
      </c>
      <c r="M23" s="17">
        <f>IF(A23="","",COUNTIFS(Landscape!$C$2:$C$601,$D23,Landscape!$B$2:$B$601,"Application to object"))</f>
        <v/>
      </c>
      <c r="N23" s="17">
        <f>IF(A23="","",COUNTIFS(Landscape!$C$2:$C$601,$D23,Landscape!$B$2:$B$601,"Application to interface"))</f>
        <v/>
      </c>
      <c r="O23" s="17">
        <f>IF(A23="","",COUNTIFS(Landscape!$C$2:$C$601,$D23,Landscape!$B$2:$B$601,"Application to component"))</f>
        <v/>
      </c>
      <c r="P23" s="17">
        <f>IF(A23="","",COUNTIFS(Landscape!$C$2:$C$601,$D23,Landscape!$B$2:$B$601,"Application to market"))</f>
        <v/>
      </c>
      <c r="Q23" s="17">
        <f>IF(A23="","",COUNTIF(Constraints!$B$2:$B$201,$A23))</f>
        <v/>
      </c>
      <c r="R23" s="18">
        <f>IF(A23="","",IF(Q23&gt;Settings!$B$4,"OVER","ok"))</f>
        <v/>
      </c>
    </row>
    <row r="24">
      <c r="A24" s="19" t="n"/>
      <c r="B24" s="19" t="n"/>
      <c r="C24" s="19" t="n"/>
      <c r="D24" s="19" t="n"/>
      <c r="E24" s="19" t="n"/>
      <c r="F24" s="19" t="n"/>
      <c r="G24" s="19" t="n"/>
      <c r="H24" s="19" t="n"/>
      <c r="I24" s="19" t="n"/>
      <c r="J24" s="16">
        <f>IF(OR(C24="",I24=""),0,I24-C24)</f>
        <v/>
      </c>
      <c r="K24" s="13">
        <f>IF(A24="","",IF(J24&lt;=Settings!$B$5,"yes","LATE"))</f>
        <v/>
      </c>
      <c r="L24" s="17">
        <f>IF(A24="","",COUNTIFS(Landscape!$C$2:$C$601,$D24,Landscape!$B$2:$B$601,"Domain to application"))</f>
        <v/>
      </c>
      <c r="M24" s="17">
        <f>IF(A24="","",COUNTIFS(Landscape!$C$2:$C$601,$D24,Landscape!$B$2:$B$601,"Application to object"))</f>
        <v/>
      </c>
      <c r="N24" s="17">
        <f>IF(A24="","",COUNTIFS(Landscape!$C$2:$C$601,$D24,Landscape!$B$2:$B$601,"Application to interface"))</f>
        <v/>
      </c>
      <c r="O24" s="17">
        <f>IF(A24="","",COUNTIFS(Landscape!$C$2:$C$601,$D24,Landscape!$B$2:$B$601,"Application to component"))</f>
        <v/>
      </c>
      <c r="P24" s="17">
        <f>IF(A24="","",COUNTIFS(Landscape!$C$2:$C$601,$D24,Landscape!$B$2:$B$601,"Application to market"))</f>
        <v/>
      </c>
      <c r="Q24" s="17">
        <f>IF(A24="","",COUNTIF(Constraints!$B$2:$B$201,$A24))</f>
        <v/>
      </c>
      <c r="R24" s="18">
        <f>IF(A24="","",IF(Q24&gt;Settings!$B$4,"OVER","ok"))</f>
        <v/>
      </c>
    </row>
    <row r="25">
      <c r="A25" s="19" t="n"/>
      <c r="B25" s="19" t="n"/>
      <c r="C25" s="19" t="n"/>
      <c r="D25" s="19" t="n"/>
      <c r="E25" s="19" t="n"/>
      <c r="F25" s="19" t="n"/>
      <c r="G25" s="19" t="n"/>
      <c r="H25" s="19" t="n"/>
      <c r="I25" s="19" t="n"/>
      <c r="J25" s="16">
        <f>IF(OR(C25="",I25=""),0,I25-C25)</f>
        <v/>
      </c>
      <c r="K25" s="13">
        <f>IF(A25="","",IF(J25&lt;=Settings!$B$5,"yes","LATE"))</f>
        <v/>
      </c>
      <c r="L25" s="17">
        <f>IF(A25="","",COUNTIFS(Landscape!$C$2:$C$601,$D25,Landscape!$B$2:$B$601,"Domain to application"))</f>
        <v/>
      </c>
      <c r="M25" s="17">
        <f>IF(A25="","",COUNTIFS(Landscape!$C$2:$C$601,$D25,Landscape!$B$2:$B$601,"Application to object"))</f>
        <v/>
      </c>
      <c r="N25" s="17">
        <f>IF(A25="","",COUNTIFS(Landscape!$C$2:$C$601,$D25,Landscape!$B$2:$B$601,"Application to interface"))</f>
        <v/>
      </c>
      <c r="O25" s="17">
        <f>IF(A25="","",COUNTIFS(Landscape!$C$2:$C$601,$D25,Landscape!$B$2:$B$601,"Application to component"))</f>
        <v/>
      </c>
      <c r="P25" s="17">
        <f>IF(A25="","",COUNTIFS(Landscape!$C$2:$C$601,$D25,Landscape!$B$2:$B$601,"Application to market"))</f>
        <v/>
      </c>
      <c r="Q25" s="17">
        <f>IF(A25="","",COUNTIF(Constraints!$B$2:$B$201,$A25))</f>
        <v/>
      </c>
      <c r="R25" s="18">
        <f>IF(A25="","",IF(Q25&gt;Settings!$B$4,"OVER","ok"))</f>
        <v/>
      </c>
    </row>
    <row r="26">
      <c r="A26" s="19" t="n"/>
      <c r="B26" s="19" t="n"/>
      <c r="C26" s="19" t="n"/>
      <c r="D26" s="19" t="n"/>
      <c r="E26" s="19" t="n"/>
      <c r="F26" s="19" t="n"/>
      <c r="G26" s="19" t="n"/>
      <c r="H26" s="19" t="n"/>
      <c r="I26" s="19" t="n"/>
      <c r="J26" s="16">
        <f>IF(OR(C26="",I26=""),0,I26-C26)</f>
        <v/>
      </c>
      <c r="K26" s="13">
        <f>IF(A26="","",IF(J26&lt;=Settings!$B$5,"yes","LATE"))</f>
        <v/>
      </c>
      <c r="L26" s="17">
        <f>IF(A26="","",COUNTIFS(Landscape!$C$2:$C$601,$D26,Landscape!$B$2:$B$601,"Domain to application"))</f>
        <v/>
      </c>
      <c r="M26" s="17">
        <f>IF(A26="","",COUNTIFS(Landscape!$C$2:$C$601,$D26,Landscape!$B$2:$B$601,"Application to object"))</f>
        <v/>
      </c>
      <c r="N26" s="17">
        <f>IF(A26="","",COUNTIFS(Landscape!$C$2:$C$601,$D26,Landscape!$B$2:$B$601,"Application to interface"))</f>
        <v/>
      </c>
      <c r="O26" s="17">
        <f>IF(A26="","",COUNTIFS(Landscape!$C$2:$C$601,$D26,Landscape!$B$2:$B$601,"Application to component"))</f>
        <v/>
      </c>
      <c r="P26" s="17">
        <f>IF(A26="","",COUNTIFS(Landscape!$C$2:$C$601,$D26,Landscape!$B$2:$B$601,"Application to market"))</f>
        <v/>
      </c>
      <c r="Q26" s="17">
        <f>IF(A26="","",COUNTIF(Constraints!$B$2:$B$201,$A26))</f>
        <v/>
      </c>
      <c r="R26" s="18">
        <f>IF(A26="","",IF(Q26&gt;Settings!$B$4,"OVER","ok"))</f>
        <v/>
      </c>
    </row>
    <row r="27">
      <c r="A27" s="19" t="n"/>
      <c r="B27" s="19" t="n"/>
      <c r="C27" s="19" t="n"/>
      <c r="D27" s="19" t="n"/>
      <c r="E27" s="19" t="n"/>
      <c r="F27" s="19" t="n"/>
      <c r="G27" s="19" t="n"/>
      <c r="H27" s="19" t="n"/>
      <c r="I27" s="19" t="n"/>
      <c r="J27" s="16">
        <f>IF(OR(C27="",I27=""),0,I27-C27)</f>
        <v/>
      </c>
      <c r="K27" s="13">
        <f>IF(A27="","",IF(J27&lt;=Settings!$B$5,"yes","LATE"))</f>
        <v/>
      </c>
      <c r="L27" s="17">
        <f>IF(A27="","",COUNTIFS(Landscape!$C$2:$C$601,$D27,Landscape!$B$2:$B$601,"Domain to application"))</f>
        <v/>
      </c>
      <c r="M27" s="17">
        <f>IF(A27="","",COUNTIFS(Landscape!$C$2:$C$601,$D27,Landscape!$B$2:$B$601,"Application to object"))</f>
        <v/>
      </c>
      <c r="N27" s="17">
        <f>IF(A27="","",COUNTIFS(Landscape!$C$2:$C$601,$D27,Landscape!$B$2:$B$601,"Application to interface"))</f>
        <v/>
      </c>
      <c r="O27" s="17">
        <f>IF(A27="","",COUNTIFS(Landscape!$C$2:$C$601,$D27,Landscape!$B$2:$B$601,"Application to component"))</f>
        <v/>
      </c>
      <c r="P27" s="17">
        <f>IF(A27="","",COUNTIFS(Landscape!$C$2:$C$601,$D27,Landscape!$B$2:$B$601,"Application to market"))</f>
        <v/>
      </c>
      <c r="Q27" s="17">
        <f>IF(A27="","",COUNTIF(Constraints!$B$2:$B$201,$A27))</f>
        <v/>
      </c>
      <c r="R27" s="18">
        <f>IF(A27="","",IF(Q27&gt;Settings!$B$4,"OVER","ok"))</f>
        <v/>
      </c>
    </row>
    <row r="28">
      <c r="A28" s="19" t="n"/>
      <c r="B28" s="19" t="n"/>
      <c r="C28" s="19" t="n"/>
      <c r="D28" s="19" t="n"/>
      <c r="E28" s="19" t="n"/>
      <c r="F28" s="19" t="n"/>
      <c r="G28" s="19" t="n"/>
      <c r="H28" s="19" t="n"/>
      <c r="I28" s="19" t="n"/>
      <c r="J28" s="16">
        <f>IF(OR(C28="",I28=""),0,I28-C28)</f>
        <v/>
      </c>
      <c r="K28" s="13">
        <f>IF(A28="","",IF(J28&lt;=Settings!$B$5,"yes","LATE"))</f>
        <v/>
      </c>
      <c r="L28" s="17">
        <f>IF(A28="","",COUNTIFS(Landscape!$C$2:$C$601,$D28,Landscape!$B$2:$B$601,"Domain to application"))</f>
        <v/>
      </c>
      <c r="M28" s="17">
        <f>IF(A28="","",COUNTIFS(Landscape!$C$2:$C$601,$D28,Landscape!$B$2:$B$601,"Application to object"))</f>
        <v/>
      </c>
      <c r="N28" s="17">
        <f>IF(A28="","",COUNTIFS(Landscape!$C$2:$C$601,$D28,Landscape!$B$2:$B$601,"Application to interface"))</f>
        <v/>
      </c>
      <c r="O28" s="17">
        <f>IF(A28="","",COUNTIFS(Landscape!$C$2:$C$601,$D28,Landscape!$B$2:$B$601,"Application to component"))</f>
        <v/>
      </c>
      <c r="P28" s="17">
        <f>IF(A28="","",COUNTIFS(Landscape!$C$2:$C$601,$D28,Landscape!$B$2:$B$601,"Application to market"))</f>
        <v/>
      </c>
      <c r="Q28" s="17">
        <f>IF(A28="","",COUNTIF(Constraints!$B$2:$B$201,$A28))</f>
        <v/>
      </c>
      <c r="R28" s="18">
        <f>IF(A28="","",IF(Q28&gt;Settings!$B$4,"OVER","ok"))</f>
        <v/>
      </c>
    </row>
    <row r="29">
      <c r="A29" s="19" t="n"/>
      <c r="B29" s="19" t="n"/>
      <c r="C29" s="19" t="n"/>
      <c r="D29" s="19" t="n"/>
      <c r="E29" s="19" t="n"/>
      <c r="F29" s="19" t="n"/>
      <c r="G29" s="19" t="n"/>
      <c r="H29" s="19" t="n"/>
      <c r="I29" s="19" t="n"/>
      <c r="J29" s="16">
        <f>IF(OR(C29="",I29=""),0,I29-C29)</f>
        <v/>
      </c>
      <c r="K29" s="13">
        <f>IF(A29="","",IF(J29&lt;=Settings!$B$5,"yes","LATE"))</f>
        <v/>
      </c>
      <c r="L29" s="17">
        <f>IF(A29="","",COUNTIFS(Landscape!$C$2:$C$601,$D29,Landscape!$B$2:$B$601,"Domain to application"))</f>
        <v/>
      </c>
      <c r="M29" s="17">
        <f>IF(A29="","",COUNTIFS(Landscape!$C$2:$C$601,$D29,Landscape!$B$2:$B$601,"Application to object"))</f>
        <v/>
      </c>
      <c r="N29" s="17">
        <f>IF(A29="","",COUNTIFS(Landscape!$C$2:$C$601,$D29,Landscape!$B$2:$B$601,"Application to interface"))</f>
        <v/>
      </c>
      <c r="O29" s="17">
        <f>IF(A29="","",COUNTIFS(Landscape!$C$2:$C$601,$D29,Landscape!$B$2:$B$601,"Application to component"))</f>
        <v/>
      </c>
      <c r="P29" s="17">
        <f>IF(A29="","",COUNTIFS(Landscape!$C$2:$C$601,$D29,Landscape!$B$2:$B$601,"Application to market"))</f>
        <v/>
      </c>
      <c r="Q29" s="17">
        <f>IF(A29="","",COUNTIF(Constraints!$B$2:$B$201,$A29))</f>
        <v/>
      </c>
      <c r="R29" s="18">
        <f>IF(A29="","",IF(Q29&gt;Settings!$B$4,"OVER","ok"))</f>
        <v/>
      </c>
    </row>
    <row r="30">
      <c r="A30" s="19" t="n"/>
      <c r="B30" s="19" t="n"/>
      <c r="C30" s="19" t="n"/>
      <c r="D30" s="19" t="n"/>
      <c r="E30" s="19" t="n"/>
      <c r="F30" s="19" t="n"/>
      <c r="G30" s="19" t="n"/>
      <c r="H30" s="19" t="n"/>
      <c r="I30" s="19" t="n"/>
      <c r="J30" s="16">
        <f>IF(OR(C30="",I30=""),0,I30-C30)</f>
        <v/>
      </c>
      <c r="K30" s="13">
        <f>IF(A30="","",IF(J30&lt;=Settings!$B$5,"yes","LATE"))</f>
        <v/>
      </c>
      <c r="L30" s="17">
        <f>IF(A30="","",COUNTIFS(Landscape!$C$2:$C$601,$D30,Landscape!$B$2:$B$601,"Domain to application"))</f>
        <v/>
      </c>
      <c r="M30" s="17">
        <f>IF(A30="","",COUNTIFS(Landscape!$C$2:$C$601,$D30,Landscape!$B$2:$B$601,"Application to object"))</f>
        <v/>
      </c>
      <c r="N30" s="17">
        <f>IF(A30="","",COUNTIFS(Landscape!$C$2:$C$601,$D30,Landscape!$B$2:$B$601,"Application to interface"))</f>
        <v/>
      </c>
      <c r="O30" s="17">
        <f>IF(A30="","",COUNTIFS(Landscape!$C$2:$C$601,$D30,Landscape!$B$2:$B$601,"Application to component"))</f>
        <v/>
      </c>
      <c r="P30" s="17">
        <f>IF(A30="","",COUNTIFS(Landscape!$C$2:$C$601,$D30,Landscape!$B$2:$B$601,"Application to market"))</f>
        <v/>
      </c>
      <c r="Q30" s="17">
        <f>IF(A30="","",COUNTIF(Constraints!$B$2:$B$201,$A30))</f>
        <v/>
      </c>
      <c r="R30" s="18">
        <f>IF(A30="","",IF(Q30&gt;Settings!$B$4,"OVER","ok"))</f>
        <v/>
      </c>
    </row>
    <row r="31">
      <c r="A31" s="19" t="n"/>
      <c r="B31" s="19" t="n"/>
      <c r="C31" s="19" t="n"/>
      <c r="D31" s="19" t="n"/>
      <c r="E31" s="19" t="n"/>
      <c r="F31" s="19" t="n"/>
      <c r="G31" s="19" t="n"/>
      <c r="H31" s="19" t="n"/>
      <c r="I31" s="19" t="n"/>
      <c r="J31" s="16">
        <f>IF(OR(C31="",I31=""),0,I31-C31)</f>
        <v/>
      </c>
      <c r="K31" s="13">
        <f>IF(A31="","",IF(J31&lt;=Settings!$B$5,"yes","LATE"))</f>
        <v/>
      </c>
      <c r="L31" s="17">
        <f>IF(A31="","",COUNTIFS(Landscape!$C$2:$C$601,$D31,Landscape!$B$2:$B$601,"Domain to application"))</f>
        <v/>
      </c>
      <c r="M31" s="17">
        <f>IF(A31="","",COUNTIFS(Landscape!$C$2:$C$601,$D31,Landscape!$B$2:$B$601,"Application to object"))</f>
        <v/>
      </c>
      <c r="N31" s="17">
        <f>IF(A31="","",COUNTIFS(Landscape!$C$2:$C$601,$D31,Landscape!$B$2:$B$601,"Application to interface"))</f>
        <v/>
      </c>
      <c r="O31" s="17">
        <f>IF(A31="","",COUNTIFS(Landscape!$C$2:$C$601,$D31,Landscape!$B$2:$B$601,"Application to component"))</f>
        <v/>
      </c>
      <c r="P31" s="17">
        <f>IF(A31="","",COUNTIFS(Landscape!$C$2:$C$601,$D31,Landscape!$B$2:$B$601,"Application to market"))</f>
        <v/>
      </c>
      <c r="Q31" s="17">
        <f>IF(A31="","",COUNTIF(Constraints!$B$2:$B$201,$A31))</f>
        <v/>
      </c>
      <c r="R31" s="18">
        <f>IF(A31="","",IF(Q31&gt;Settings!$B$4,"OVER","ok"))</f>
        <v/>
      </c>
    </row>
    <row r="32">
      <c r="A32" s="19" t="n"/>
      <c r="B32" s="19" t="n"/>
      <c r="C32" s="19" t="n"/>
      <c r="D32" s="19" t="n"/>
      <c r="E32" s="19" t="n"/>
      <c r="F32" s="19" t="n"/>
      <c r="G32" s="19" t="n"/>
      <c r="H32" s="19" t="n"/>
      <c r="I32" s="19" t="n"/>
      <c r="J32" s="16">
        <f>IF(OR(C32="",I32=""),0,I32-C32)</f>
        <v/>
      </c>
      <c r="K32" s="13">
        <f>IF(A32="","",IF(J32&lt;=Settings!$B$5,"yes","LATE"))</f>
        <v/>
      </c>
      <c r="L32" s="17">
        <f>IF(A32="","",COUNTIFS(Landscape!$C$2:$C$601,$D32,Landscape!$B$2:$B$601,"Domain to application"))</f>
        <v/>
      </c>
      <c r="M32" s="17">
        <f>IF(A32="","",COUNTIFS(Landscape!$C$2:$C$601,$D32,Landscape!$B$2:$B$601,"Application to object"))</f>
        <v/>
      </c>
      <c r="N32" s="17">
        <f>IF(A32="","",COUNTIFS(Landscape!$C$2:$C$601,$D32,Landscape!$B$2:$B$601,"Application to interface"))</f>
        <v/>
      </c>
      <c r="O32" s="17">
        <f>IF(A32="","",COUNTIFS(Landscape!$C$2:$C$601,$D32,Landscape!$B$2:$B$601,"Application to component"))</f>
        <v/>
      </c>
      <c r="P32" s="17">
        <f>IF(A32="","",COUNTIFS(Landscape!$C$2:$C$601,$D32,Landscape!$B$2:$B$601,"Application to market"))</f>
        <v/>
      </c>
      <c r="Q32" s="17">
        <f>IF(A32="","",COUNTIF(Constraints!$B$2:$B$201,$A32))</f>
        <v/>
      </c>
      <c r="R32" s="18">
        <f>IF(A32="","",IF(Q32&gt;Settings!$B$4,"OVER","ok"))</f>
        <v/>
      </c>
    </row>
    <row r="33">
      <c r="A33" s="19" t="n"/>
      <c r="B33" s="19" t="n"/>
      <c r="C33" s="19" t="n"/>
      <c r="D33" s="19" t="n"/>
      <c r="E33" s="19" t="n"/>
      <c r="F33" s="19" t="n"/>
      <c r="G33" s="19" t="n"/>
      <c r="H33" s="19" t="n"/>
      <c r="I33" s="19" t="n"/>
      <c r="J33" s="16">
        <f>IF(OR(C33="",I33=""),0,I33-C33)</f>
        <v/>
      </c>
      <c r="K33" s="13">
        <f>IF(A33="","",IF(J33&lt;=Settings!$B$5,"yes","LATE"))</f>
        <v/>
      </c>
      <c r="L33" s="17">
        <f>IF(A33="","",COUNTIFS(Landscape!$C$2:$C$601,$D33,Landscape!$B$2:$B$601,"Domain to application"))</f>
        <v/>
      </c>
      <c r="M33" s="17">
        <f>IF(A33="","",COUNTIFS(Landscape!$C$2:$C$601,$D33,Landscape!$B$2:$B$601,"Application to object"))</f>
        <v/>
      </c>
      <c r="N33" s="17">
        <f>IF(A33="","",COUNTIFS(Landscape!$C$2:$C$601,$D33,Landscape!$B$2:$B$601,"Application to interface"))</f>
        <v/>
      </c>
      <c r="O33" s="17">
        <f>IF(A33="","",COUNTIFS(Landscape!$C$2:$C$601,$D33,Landscape!$B$2:$B$601,"Application to component"))</f>
        <v/>
      </c>
      <c r="P33" s="17">
        <f>IF(A33="","",COUNTIFS(Landscape!$C$2:$C$601,$D33,Landscape!$B$2:$B$601,"Application to market"))</f>
        <v/>
      </c>
      <c r="Q33" s="17">
        <f>IF(A33="","",COUNTIF(Constraints!$B$2:$B$201,$A33))</f>
        <v/>
      </c>
      <c r="R33" s="18">
        <f>IF(A33="","",IF(Q33&gt;Settings!$B$4,"OVER","ok"))</f>
        <v/>
      </c>
    </row>
    <row r="34">
      <c r="A34" s="19" t="n"/>
      <c r="B34" s="19" t="n"/>
      <c r="C34" s="19" t="n"/>
      <c r="D34" s="19" t="n"/>
      <c r="E34" s="19" t="n"/>
      <c r="F34" s="19" t="n"/>
      <c r="G34" s="19" t="n"/>
      <c r="H34" s="19" t="n"/>
      <c r="I34" s="19" t="n"/>
      <c r="J34" s="16">
        <f>IF(OR(C34="",I34=""),0,I34-C34)</f>
        <v/>
      </c>
      <c r="K34" s="13">
        <f>IF(A34="","",IF(J34&lt;=Settings!$B$5,"yes","LATE"))</f>
        <v/>
      </c>
      <c r="L34" s="17">
        <f>IF(A34="","",COUNTIFS(Landscape!$C$2:$C$601,$D34,Landscape!$B$2:$B$601,"Domain to application"))</f>
        <v/>
      </c>
      <c r="M34" s="17">
        <f>IF(A34="","",COUNTIFS(Landscape!$C$2:$C$601,$D34,Landscape!$B$2:$B$601,"Application to object"))</f>
        <v/>
      </c>
      <c r="N34" s="17">
        <f>IF(A34="","",COUNTIFS(Landscape!$C$2:$C$601,$D34,Landscape!$B$2:$B$601,"Application to interface"))</f>
        <v/>
      </c>
      <c r="O34" s="17">
        <f>IF(A34="","",COUNTIFS(Landscape!$C$2:$C$601,$D34,Landscape!$B$2:$B$601,"Application to component"))</f>
        <v/>
      </c>
      <c r="P34" s="17">
        <f>IF(A34="","",COUNTIFS(Landscape!$C$2:$C$601,$D34,Landscape!$B$2:$B$601,"Application to market"))</f>
        <v/>
      </c>
      <c r="Q34" s="17">
        <f>IF(A34="","",COUNTIF(Constraints!$B$2:$B$201,$A34))</f>
        <v/>
      </c>
      <c r="R34" s="18">
        <f>IF(A34="","",IF(Q34&gt;Settings!$B$4,"OVER","ok"))</f>
        <v/>
      </c>
    </row>
    <row r="35">
      <c r="A35" s="19" t="n"/>
      <c r="B35" s="19" t="n"/>
      <c r="C35" s="19" t="n"/>
      <c r="D35" s="19" t="n"/>
      <c r="E35" s="19" t="n"/>
      <c r="F35" s="19" t="n"/>
      <c r="G35" s="19" t="n"/>
      <c r="H35" s="19" t="n"/>
      <c r="I35" s="19" t="n"/>
      <c r="J35" s="16">
        <f>IF(OR(C35="",I35=""),0,I35-C35)</f>
        <v/>
      </c>
      <c r="K35" s="13">
        <f>IF(A35="","",IF(J35&lt;=Settings!$B$5,"yes","LATE"))</f>
        <v/>
      </c>
      <c r="L35" s="17">
        <f>IF(A35="","",COUNTIFS(Landscape!$C$2:$C$601,$D35,Landscape!$B$2:$B$601,"Domain to application"))</f>
        <v/>
      </c>
      <c r="M35" s="17">
        <f>IF(A35="","",COUNTIFS(Landscape!$C$2:$C$601,$D35,Landscape!$B$2:$B$601,"Application to object"))</f>
        <v/>
      </c>
      <c r="N35" s="17">
        <f>IF(A35="","",COUNTIFS(Landscape!$C$2:$C$601,$D35,Landscape!$B$2:$B$601,"Application to interface"))</f>
        <v/>
      </c>
      <c r="O35" s="17">
        <f>IF(A35="","",COUNTIFS(Landscape!$C$2:$C$601,$D35,Landscape!$B$2:$B$601,"Application to component"))</f>
        <v/>
      </c>
      <c r="P35" s="17">
        <f>IF(A35="","",COUNTIFS(Landscape!$C$2:$C$601,$D35,Landscape!$B$2:$B$601,"Application to market"))</f>
        <v/>
      </c>
      <c r="Q35" s="17">
        <f>IF(A35="","",COUNTIF(Constraints!$B$2:$B$201,$A35))</f>
        <v/>
      </c>
      <c r="R35" s="18">
        <f>IF(A35="","",IF(Q35&gt;Settings!$B$4,"OVER","ok"))</f>
        <v/>
      </c>
    </row>
    <row r="36">
      <c r="A36" s="19" t="n"/>
      <c r="B36" s="19" t="n"/>
      <c r="C36" s="19" t="n"/>
      <c r="D36" s="19" t="n"/>
      <c r="E36" s="19" t="n"/>
      <c r="F36" s="19" t="n"/>
      <c r="G36" s="19" t="n"/>
      <c r="H36" s="19" t="n"/>
      <c r="I36" s="19" t="n"/>
      <c r="J36" s="16">
        <f>IF(OR(C36="",I36=""),0,I36-C36)</f>
        <v/>
      </c>
      <c r="K36" s="13">
        <f>IF(A36="","",IF(J36&lt;=Settings!$B$5,"yes","LATE"))</f>
        <v/>
      </c>
      <c r="L36" s="17">
        <f>IF(A36="","",COUNTIFS(Landscape!$C$2:$C$601,$D36,Landscape!$B$2:$B$601,"Domain to application"))</f>
        <v/>
      </c>
      <c r="M36" s="17">
        <f>IF(A36="","",COUNTIFS(Landscape!$C$2:$C$601,$D36,Landscape!$B$2:$B$601,"Application to object"))</f>
        <v/>
      </c>
      <c r="N36" s="17">
        <f>IF(A36="","",COUNTIFS(Landscape!$C$2:$C$601,$D36,Landscape!$B$2:$B$601,"Application to interface"))</f>
        <v/>
      </c>
      <c r="O36" s="17">
        <f>IF(A36="","",COUNTIFS(Landscape!$C$2:$C$601,$D36,Landscape!$B$2:$B$601,"Application to component"))</f>
        <v/>
      </c>
      <c r="P36" s="17">
        <f>IF(A36="","",COUNTIFS(Landscape!$C$2:$C$601,$D36,Landscape!$B$2:$B$601,"Application to market"))</f>
        <v/>
      </c>
      <c r="Q36" s="17">
        <f>IF(A36="","",COUNTIF(Constraints!$B$2:$B$201,$A36))</f>
        <v/>
      </c>
      <c r="R36" s="18">
        <f>IF(A36="","",IF(Q36&gt;Settings!$B$4,"OVER","ok"))</f>
        <v/>
      </c>
    </row>
    <row r="37">
      <c r="A37" s="19" t="n"/>
      <c r="B37" s="19" t="n"/>
      <c r="C37" s="19" t="n"/>
      <c r="D37" s="19" t="n"/>
      <c r="E37" s="19" t="n"/>
      <c r="F37" s="19" t="n"/>
      <c r="G37" s="19" t="n"/>
      <c r="H37" s="19" t="n"/>
      <c r="I37" s="19" t="n"/>
      <c r="J37" s="16">
        <f>IF(OR(C37="",I37=""),0,I37-C37)</f>
        <v/>
      </c>
      <c r="K37" s="13">
        <f>IF(A37="","",IF(J37&lt;=Settings!$B$5,"yes","LATE"))</f>
        <v/>
      </c>
      <c r="L37" s="17">
        <f>IF(A37="","",COUNTIFS(Landscape!$C$2:$C$601,$D37,Landscape!$B$2:$B$601,"Domain to application"))</f>
        <v/>
      </c>
      <c r="M37" s="17">
        <f>IF(A37="","",COUNTIFS(Landscape!$C$2:$C$601,$D37,Landscape!$B$2:$B$601,"Application to object"))</f>
        <v/>
      </c>
      <c r="N37" s="17">
        <f>IF(A37="","",COUNTIFS(Landscape!$C$2:$C$601,$D37,Landscape!$B$2:$B$601,"Application to interface"))</f>
        <v/>
      </c>
      <c r="O37" s="17">
        <f>IF(A37="","",COUNTIFS(Landscape!$C$2:$C$601,$D37,Landscape!$B$2:$B$601,"Application to component"))</f>
        <v/>
      </c>
      <c r="P37" s="17">
        <f>IF(A37="","",COUNTIFS(Landscape!$C$2:$C$601,$D37,Landscape!$B$2:$B$601,"Application to market"))</f>
        <v/>
      </c>
      <c r="Q37" s="17">
        <f>IF(A37="","",COUNTIF(Constraints!$B$2:$B$201,$A37))</f>
        <v/>
      </c>
      <c r="R37" s="18">
        <f>IF(A37="","",IF(Q37&gt;Settings!$B$4,"OVER","ok"))</f>
        <v/>
      </c>
    </row>
    <row r="38">
      <c r="A38" s="19" t="n"/>
      <c r="B38" s="19" t="n"/>
      <c r="C38" s="19" t="n"/>
      <c r="D38" s="19" t="n"/>
      <c r="E38" s="19" t="n"/>
      <c r="F38" s="19" t="n"/>
      <c r="G38" s="19" t="n"/>
      <c r="H38" s="19" t="n"/>
      <c r="I38" s="19" t="n"/>
      <c r="J38" s="16">
        <f>IF(OR(C38="",I38=""),0,I38-C38)</f>
        <v/>
      </c>
      <c r="K38" s="13">
        <f>IF(A38="","",IF(J38&lt;=Settings!$B$5,"yes","LATE"))</f>
        <v/>
      </c>
      <c r="L38" s="17">
        <f>IF(A38="","",COUNTIFS(Landscape!$C$2:$C$601,$D38,Landscape!$B$2:$B$601,"Domain to application"))</f>
        <v/>
      </c>
      <c r="M38" s="17">
        <f>IF(A38="","",COUNTIFS(Landscape!$C$2:$C$601,$D38,Landscape!$B$2:$B$601,"Application to object"))</f>
        <v/>
      </c>
      <c r="N38" s="17">
        <f>IF(A38="","",COUNTIFS(Landscape!$C$2:$C$601,$D38,Landscape!$B$2:$B$601,"Application to interface"))</f>
        <v/>
      </c>
      <c r="O38" s="17">
        <f>IF(A38="","",COUNTIFS(Landscape!$C$2:$C$601,$D38,Landscape!$B$2:$B$601,"Application to component"))</f>
        <v/>
      </c>
      <c r="P38" s="17">
        <f>IF(A38="","",COUNTIFS(Landscape!$C$2:$C$601,$D38,Landscape!$B$2:$B$601,"Application to market"))</f>
        <v/>
      </c>
      <c r="Q38" s="17">
        <f>IF(A38="","",COUNTIF(Constraints!$B$2:$B$201,$A38))</f>
        <v/>
      </c>
      <c r="R38" s="18">
        <f>IF(A38="","",IF(Q38&gt;Settings!$B$4,"OVER","ok"))</f>
        <v/>
      </c>
    </row>
    <row r="39">
      <c r="A39" s="19" t="n"/>
      <c r="B39" s="19" t="n"/>
      <c r="C39" s="19" t="n"/>
      <c r="D39" s="19" t="n"/>
      <c r="E39" s="19" t="n"/>
      <c r="F39" s="19" t="n"/>
      <c r="G39" s="19" t="n"/>
      <c r="H39" s="19" t="n"/>
      <c r="I39" s="19" t="n"/>
      <c r="J39" s="16">
        <f>IF(OR(C39="",I39=""),0,I39-C39)</f>
        <v/>
      </c>
      <c r="K39" s="13">
        <f>IF(A39="","",IF(J39&lt;=Settings!$B$5,"yes","LATE"))</f>
        <v/>
      </c>
      <c r="L39" s="17">
        <f>IF(A39="","",COUNTIFS(Landscape!$C$2:$C$601,$D39,Landscape!$B$2:$B$601,"Domain to application"))</f>
        <v/>
      </c>
      <c r="M39" s="17">
        <f>IF(A39="","",COUNTIFS(Landscape!$C$2:$C$601,$D39,Landscape!$B$2:$B$601,"Application to object"))</f>
        <v/>
      </c>
      <c r="N39" s="17">
        <f>IF(A39="","",COUNTIFS(Landscape!$C$2:$C$601,$D39,Landscape!$B$2:$B$601,"Application to interface"))</f>
        <v/>
      </c>
      <c r="O39" s="17">
        <f>IF(A39="","",COUNTIFS(Landscape!$C$2:$C$601,$D39,Landscape!$B$2:$B$601,"Application to component"))</f>
        <v/>
      </c>
      <c r="P39" s="17">
        <f>IF(A39="","",COUNTIFS(Landscape!$C$2:$C$601,$D39,Landscape!$B$2:$B$601,"Application to market"))</f>
        <v/>
      </c>
      <c r="Q39" s="17">
        <f>IF(A39="","",COUNTIF(Constraints!$B$2:$B$201,$A39))</f>
        <v/>
      </c>
      <c r="R39" s="18">
        <f>IF(A39="","",IF(Q39&gt;Settings!$B$4,"OVER","ok"))</f>
        <v/>
      </c>
    </row>
    <row r="40">
      <c r="A40" s="19" t="n"/>
      <c r="B40" s="19" t="n"/>
      <c r="C40" s="19" t="n"/>
      <c r="D40" s="19" t="n"/>
      <c r="E40" s="19" t="n"/>
      <c r="F40" s="19" t="n"/>
      <c r="G40" s="19" t="n"/>
      <c r="H40" s="19" t="n"/>
      <c r="I40" s="19" t="n"/>
      <c r="J40" s="16">
        <f>IF(OR(C40="",I40=""),0,I40-C40)</f>
        <v/>
      </c>
      <c r="K40" s="13">
        <f>IF(A40="","",IF(J40&lt;=Settings!$B$5,"yes","LATE"))</f>
        <v/>
      </c>
      <c r="L40" s="17">
        <f>IF(A40="","",COUNTIFS(Landscape!$C$2:$C$601,$D40,Landscape!$B$2:$B$601,"Domain to application"))</f>
        <v/>
      </c>
      <c r="M40" s="17">
        <f>IF(A40="","",COUNTIFS(Landscape!$C$2:$C$601,$D40,Landscape!$B$2:$B$601,"Application to object"))</f>
        <v/>
      </c>
      <c r="N40" s="17">
        <f>IF(A40="","",COUNTIFS(Landscape!$C$2:$C$601,$D40,Landscape!$B$2:$B$601,"Application to interface"))</f>
        <v/>
      </c>
      <c r="O40" s="17">
        <f>IF(A40="","",COUNTIFS(Landscape!$C$2:$C$601,$D40,Landscape!$B$2:$B$601,"Application to component"))</f>
        <v/>
      </c>
      <c r="P40" s="17">
        <f>IF(A40="","",COUNTIFS(Landscape!$C$2:$C$601,$D40,Landscape!$B$2:$B$601,"Application to market"))</f>
        <v/>
      </c>
      <c r="Q40" s="17">
        <f>IF(A40="","",COUNTIF(Constraints!$B$2:$B$201,$A40))</f>
        <v/>
      </c>
      <c r="R40" s="18">
        <f>IF(A40="","",IF(Q40&gt;Settings!$B$4,"OVER","ok"))</f>
        <v/>
      </c>
    </row>
    <row r="41">
      <c r="A41" s="19" t="n"/>
      <c r="B41" s="19" t="n"/>
      <c r="C41" s="19" t="n"/>
      <c r="D41" s="19" t="n"/>
      <c r="E41" s="19" t="n"/>
      <c r="F41" s="19" t="n"/>
      <c r="G41" s="19" t="n"/>
      <c r="H41" s="19" t="n"/>
      <c r="I41" s="19" t="n"/>
      <c r="J41" s="16">
        <f>IF(OR(C41="",I41=""),0,I41-C41)</f>
        <v/>
      </c>
      <c r="K41" s="13">
        <f>IF(A41="","",IF(J41&lt;=Settings!$B$5,"yes","LATE"))</f>
        <v/>
      </c>
      <c r="L41" s="17">
        <f>IF(A41="","",COUNTIFS(Landscape!$C$2:$C$601,$D41,Landscape!$B$2:$B$601,"Domain to application"))</f>
        <v/>
      </c>
      <c r="M41" s="17">
        <f>IF(A41="","",COUNTIFS(Landscape!$C$2:$C$601,$D41,Landscape!$B$2:$B$601,"Application to object"))</f>
        <v/>
      </c>
      <c r="N41" s="17">
        <f>IF(A41="","",COUNTIFS(Landscape!$C$2:$C$601,$D41,Landscape!$B$2:$B$601,"Application to interface"))</f>
        <v/>
      </c>
      <c r="O41" s="17">
        <f>IF(A41="","",COUNTIFS(Landscape!$C$2:$C$601,$D41,Landscape!$B$2:$B$601,"Application to component"))</f>
        <v/>
      </c>
      <c r="P41" s="17">
        <f>IF(A41="","",COUNTIFS(Landscape!$C$2:$C$601,$D41,Landscape!$B$2:$B$601,"Application to market"))</f>
        <v/>
      </c>
      <c r="Q41" s="17">
        <f>IF(A41="","",COUNTIF(Constraints!$B$2:$B$201,$A41))</f>
        <v/>
      </c>
      <c r="R41" s="18">
        <f>IF(A41="","",IF(Q41&gt;Settings!$B$4,"OVER","ok"))</f>
        <v/>
      </c>
    </row>
    <row r="42">
      <c r="A42" s="19" t="n"/>
      <c r="B42" s="19" t="n"/>
      <c r="C42" s="19" t="n"/>
      <c r="D42" s="19" t="n"/>
      <c r="E42" s="19" t="n"/>
      <c r="F42" s="19" t="n"/>
      <c r="G42" s="19" t="n"/>
      <c r="H42" s="19" t="n"/>
      <c r="I42" s="19" t="n"/>
      <c r="J42" s="16">
        <f>IF(OR(C42="",I42=""),0,I42-C42)</f>
        <v/>
      </c>
      <c r="K42" s="13">
        <f>IF(A42="","",IF(J42&lt;=Settings!$B$5,"yes","LATE"))</f>
        <v/>
      </c>
      <c r="L42" s="17">
        <f>IF(A42="","",COUNTIFS(Landscape!$C$2:$C$601,$D42,Landscape!$B$2:$B$601,"Domain to application"))</f>
        <v/>
      </c>
      <c r="M42" s="17">
        <f>IF(A42="","",COUNTIFS(Landscape!$C$2:$C$601,$D42,Landscape!$B$2:$B$601,"Application to object"))</f>
        <v/>
      </c>
      <c r="N42" s="17">
        <f>IF(A42="","",COUNTIFS(Landscape!$C$2:$C$601,$D42,Landscape!$B$2:$B$601,"Application to interface"))</f>
        <v/>
      </c>
      <c r="O42" s="17">
        <f>IF(A42="","",COUNTIFS(Landscape!$C$2:$C$601,$D42,Landscape!$B$2:$B$601,"Application to component"))</f>
        <v/>
      </c>
      <c r="P42" s="17">
        <f>IF(A42="","",COUNTIFS(Landscape!$C$2:$C$601,$D42,Landscape!$B$2:$B$601,"Application to market"))</f>
        <v/>
      </c>
      <c r="Q42" s="17">
        <f>IF(A42="","",COUNTIF(Constraints!$B$2:$B$201,$A42))</f>
        <v/>
      </c>
      <c r="R42" s="18">
        <f>IF(A42="","",IF(Q42&gt;Settings!$B$4,"OVER","ok"))</f>
        <v/>
      </c>
    </row>
    <row r="43">
      <c r="A43" s="19" t="n"/>
      <c r="B43" s="19" t="n"/>
      <c r="C43" s="19" t="n"/>
      <c r="D43" s="19" t="n"/>
      <c r="E43" s="19" t="n"/>
      <c r="F43" s="19" t="n"/>
      <c r="G43" s="19" t="n"/>
      <c r="H43" s="19" t="n"/>
      <c r="I43" s="19" t="n"/>
      <c r="J43" s="16">
        <f>IF(OR(C43="",I43=""),0,I43-C43)</f>
        <v/>
      </c>
      <c r="K43" s="13">
        <f>IF(A43="","",IF(J43&lt;=Settings!$B$5,"yes","LATE"))</f>
        <v/>
      </c>
      <c r="L43" s="17">
        <f>IF(A43="","",COUNTIFS(Landscape!$C$2:$C$601,$D43,Landscape!$B$2:$B$601,"Domain to application"))</f>
        <v/>
      </c>
      <c r="M43" s="17">
        <f>IF(A43="","",COUNTIFS(Landscape!$C$2:$C$601,$D43,Landscape!$B$2:$B$601,"Application to object"))</f>
        <v/>
      </c>
      <c r="N43" s="17">
        <f>IF(A43="","",COUNTIFS(Landscape!$C$2:$C$601,$D43,Landscape!$B$2:$B$601,"Application to interface"))</f>
        <v/>
      </c>
      <c r="O43" s="17">
        <f>IF(A43="","",COUNTIFS(Landscape!$C$2:$C$601,$D43,Landscape!$B$2:$B$601,"Application to component"))</f>
        <v/>
      </c>
      <c r="P43" s="17">
        <f>IF(A43="","",COUNTIFS(Landscape!$C$2:$C$601,$D43,Landscape!$B$2:$B$601,"Application to market"))</f>
        <v/>
      </c>
      <c r="Q43" s="17">
        <f>IF(A43="","",COUNTIF(Constraints!$B$2:$B$201,$A43))</f>
        <v/>
      </c>
      <c r="R43" s="18">
        <f>IF(A43="","",IF(Q43&gt;Settings!$B$4,"OVER","ok"))</f>
        <v/>
      </c>
    </row>
    <row r="44">
      <c r="A44" s="19" t="n"/>
      <c r="B44" s="19" t="n"/>
      <c r="C44" s="19" t="n"/>
      <c r="D44" s="19" t="n"/>
      <c r="E44" s="19" t="n"/>
      <c r="F44" s="19" t="n"/>
      <c r="G44" s="19" t="n"/>
      <c r="H44" s="19" t="n"/>
      <c r="I44" s="19" t="n"/>
      <c r="J44" s="16">
        <f>IF(OR(C44="",I44=""),0,I44-C44)</f>
        <v/>
      </c>
      <c r="K44" s="13">
        <f>IF(A44="","",IF(J44&lt;=Settings!$B$5,"yes","LATE"))</f>
        <v/>
      </c>
      <c r="L44" s="17">
        <f>IF(A44="","",COUNTIFS(Landscape!$C$2:$C$601,$D44,Landscape!$B$2:$B$601,"Domain to application"))</f>
        <v/>
      </c>
      <c r="M44" s="17">
        <f>IF(A44="","",COUNTIFS(Landscape!$C$2:$C$601,$D44,Landscape!$B$2:$B$601,"Application to object"))</f>
        <v/>
      </c>
      <c r="N44" s="17">
        <f>IF(A44="","",COUNTIFS(Landscape!$C$2:$C$601,$D44,Landscape!$B$2:$B$601,"Application to interface"))</f>
        <v/>
      </c>
      <c r="O44" s="17">
        <f>IF(A44="","",COUNTIFS(Landscape!$C$2:$C$601,$D44,Landscape!$B$2:$B$601,"Application to component"))</f>
        <v/>
      </c>
      <c r="P44" s="17">
        <f>IF(A44="","",COUNTIFS(Landscape!$C$2:$C$601,$D44,Landscape!$B$2:$B$601,"Application to market"))</f>
        <v/>
      </c>
      <c r="Q44" s="17">
        <f>IF(A44="","",COUNTIF(Constraints!$B$2:$B$201,$A44))</f>
        <v/>
      </c>
      <c r="R44" s="18">
        <f>IF(A44="","",IF(Q44&gt;Settings!$B$4,"OVER","ok"))</f>
        <v/>
      </c>
    </row>
    <row r="45">
      <c r="A45" s="19" t="n"/>
      <c r="B45" s="19" t="n"/>
      <c r="C45" s="19" t="n"/>
      <c r="D45" s="19" t="n"/>
      <c r="E45" s="19" t="n"/>
      <c r="F45" s="19" t="n"/>
      <c r="G45" s="19" t="n"/>
      <c r="H45" s="19" t="n"/>
      <c r="I45" s="19" t="n"/>
      <c r="J45" s="16">
        <f>IF(OR(C45="",I45=""),0,I45-C45)</f>
        <v/>
      </c>
      <c r="K45" s="13">
        <f>IF(A45="","",IF(J45&lt;=Settings!$B$5,"yes","LATE"))</f>
        <v/>
      </c>
      <c r="L45" s="17">
        <f>IF(A45="","",COUNTIFS(Landscape!$C$2:$C$601,$D45,Landscape!$B$2:$B$601,"Domain to application"))</f>
        <v/>
      </c>
      <c r="M45" s="17">
        <f>IF(A45="","",COUNTIFS(Landscape!$C$2:$C$601,$D45,Landscape!$B$2:$B$601,"Application to object"))</f>
        <v/>
      </c>
      <c r="N45" s="17">
        <f>IF(A45="","",COUNTIFS(Landscape!$C$2:$C$601,$D45,Landscape!$B$2:$B$601,"Application to interface"))</f>
        <v/>
      </c>
      <c r="O45" s="17">
        <f>IF(A45="","",COUNTIFS(Landscape!$C$2:$C$601,$D45,Landscape!$B$2:$B$601,"Application to component"))</f>
        <v/>
      </c>
      <c r="P45" s="17">
        <f>IF(A45="","",COUNTIFS(Landscape!$C$2:$C$601,$D45,Landscape!$B$2:$B$601,"Application to market"))</f>
        <v/>
      </c>
      <c r="Q45" s="17">
        <f>IF(A45="","",COUNTIF(Constraints!$B$2:$B$201,$A45))</f>
        <v/>
      </c>
      <c r="R45" s="18">
        <f>IF(A45="","",IF(Q45&gt;Settings!$B$4,"OVER","ok"))</f>
        <v/>
      </c>
    </row>
    <row r="46">
      <c r="A46" s="19" t="n"/>
      <c r="B46" s="19" t="n"/>
      <c r="C46" s="19" t="n"/>
      <c r="D46" s="19" t="n"/>
      <c r="E46" s="19" t="n"/>
      <c r="F46" s="19" t="n"/>
      <c r="G46" s="19" t="n"/>
      <c r="H46" s="19" t="n"/>
      <c r="I46" s="19" t="n"/>
      <c r="J46" s="16">
        <f>IF(OR(C46="",I46=""),0,I46-C46)</f>
        <v/>
      </c>
      <c r="K46" s="13">
        <f>IF(A46="","",IF(J46&lt;=Settings!$B$5,"yes","LATE"))</f>
        <v/>
      </c>
      <c r="L46" s="17">
        <f>IF(A46="","",COUNTIFS(Landscape!$C$2:$C$601,$D46,Landscape!$B$2:$B$601,"Domain to application"))</f>
        <v/>
      </c>
      <c r="M46" s="17">
        <f>IF(A46="","",COUNTIFS(Landscape!$C$2:$C$601,$D46,Landscape!$B$2:$B$601,"Application to object"))</f>
        <v/>
      </c>
      <c r="N46" s="17">
        <f>IF(A46="","",COUNTIFS(Landscape!$C$2:$C$601,$D46,Landscape!$B$2:$B$601,"Application to interface"))</f>
        <v/>
      </c>
      <c r="O46" s="17">
        <f>IF(A46="","",COUNTIFS(Landscape!$C$2:$C$601,$D46,Landscape!$B$2:$B$601,"Application to component"))</f>
        <v/>
      </c>
      <c r="P46" s="17">
        <f>IF(A46="","",COUNTIFS(Landscape!$C$2:$C$601,$D46,Landscape!$B$2:$B$601,"Application to market"))</f>
        <v/>
      </c>
      <c r="Q46" s="17">
        <f>IF(A46="","",COUNTIF(Constraints!$B$2:$B$201,$A46))</f>
        <v/>
      </c>
      <c r="R46" s="18">
        <f>IF(A46="","",IF(Q46&gt;Settings!$B$4,"OVER","ok"))</f>
        <v/>
      </c>
    </row>
    <row r="47">
      <c r="A47" s="19" t="n"/>
      <c r="B47" s="19" t="n"/>
      <c r="C47" s="19" t="n"/>
      <c r="D47" s="19" t="n"/>
      <c r="E47" s="19" t="n"/>
      <c r="F47" s="19" t="n"/>
      <c r="G47" s="19" t="n"/>
      <c r="H47" s="19" t="n"/>
      <c r="I47" s="19" t="n"/>
      <c r="J47" s="16">
        <f>IF(OR(C47="",I47=""),0,I47-C47)</f>
        <v/>
      </c>
      <c r="K47" s="13">
        <f>IF(A47="","",IF(J47&lt;=Settings!$B$5,"yes","LATE"))</f>
        <v/>
      </c>
      <c r="L47" s="17">
        <f>IF(A47="","",COUNTIFS(Landscape!$C$2:$C$601,$D47,Landscape!$B$2:$B$601,"Domain to application"))</f>
        <v/>
      </c>
      <c r="M47" s="17">
        <f>IF(A47="","",COUNTIFS(Landscape!$C$2:$C$601,$D47,Landscape!$B$2:$B$601,"Application to object"))</f>
        <v/>
      </c>
      <c r="N47" s="17">
        <f>IF(A47="","",COUNTIFS(Landscape!$C$2:$C$601,$D47,Landscape!$B$2:$B$601,"Application to interface"))</f>
        <v/>
      </c>
      <c r="O47" s="17">
        <f>IF(A47="","",COUNTIFS(Landscape!$C$2:$C$601,$D47,Landscape!$B$2:$B$601,"Application to component"))</f>
        <v/>
      </c>
      <c r="P47" s="17">
        <f>IF(A47="","",COUNTIFS(Landscape!$C$2:$C$601,$D47,Landscape!$B$2:$B$601,"Application to market"))</f>
        <v/>
      </c>
      <c r="Q47" s="17">
        <f>IF(A47="","",COUNTIF(Constraints!$B$2:$B$201,$A47))</f>
        <v/>
      </c>
      <c r="R47" s="18">
        <f>IF(A47="","",IF(Q47&gt;Settings!$B$4,"OVER","ok"))</f>
        <v/>
      </c>
    </row>
    <row r="48">
      <c r="A48" s="19" t="n"/>
      <c r="B48" s="19" t="n"/>
      <c r="C48" s="19" t="n"/>
      <c r="D48" s="19" t="n"/>
      <c r="E48" s="19" t="n"/>
      <c r="F48" s="19" t="n"/>
      <c r="G48" s="19" t="n"/>
      <c r="H48" s="19" t="n"/>
      <c r="I48" s="19" t="n"/>
      <c r="J48" s="16">
        <f>IF(OR(C48="",I48=""),0,I48-C48)</f>
        <v/>
      </c>
      <c r="K48" s="13">
        <f>IF(A48="","",IF(J48&lt;=Settings!$B$5,"yes","LATE"))</f>
        <v/>
      </c>
      <c r="L48" s="17">
        <f>IF(A48="","",COUNTIFS(Landscape!$C$2:$C$601,$D48,Landscape!$B$2:$B$601,"Domain to application"))</f>
        <v/>
      </c>
      <c r="M48" s="17">
        <f>IF(A48="","",COUNTIFS(Landscape!$C$2:$C$601,$D48,Landscape!$B$2:$B$601,"Application to object"))</f>
        <v/>
      </c>
      <c r="N48" s="17">
        <f>IF(A48="","",COUNTIFS(Landscape!$C$2:$C$601,$D48,Landscape!$B$2:$B$601,"Application to interface"))</f>
        <v/>
      </c>
      <c r="O48" s="17">
        <f>IF(A48="","",COUNTIFS(Landscape!$C$2:$C$601,$D48,Landscape!$B$2:$B$601,"Application to component"))</f>
        <v/>
      </c>
      <c r="P48" s="17">
        <f>IF(A48="","",COUNTIFS(Landscape!$C$2:$C$601,$D48,Landscape!$B$2:$B$601,"Application to market"))</f>
        <v/>
      </c>
      <c r="Q48" s="17">
        <f>IF(A48="","",COUNTIF(Constraints!$B$2:$B$201,$A48))</f>
        <v/>
      </c>
      <c r="R48" s="18">
        <f>IF(A48="","",IF(Q48&gt;Settings!$B$4,"OVER","ok"))</f>
        <v/>
      </c>
    </row>
    <row r="49">
      <c r="A49" s="19" t="n"/>
      <c r="B49" s="19" t="n"/>
      <c r="C49" s="19" t="n"/>
      <c r="D49" s="19" t="n"/>
      <c r="E49" s="19" t="n"/>
      <c r="F49" s="19" t="n"/>
      <c r="G49" s="19" t="n"/>
      <c r="H49" s="19" t="n"/>
      <c r="I49" s="19" t="n"/>
      <c r="J49" s="16">
        <f>IF(OR(C49="",I49=""),0,I49-C49)</f>
        <v/>
      </c>
      <c r="K49" s="13">
        <f>IF(A49="","",IF(J49&lt;=Settings!$B$5,"yes","LATE"))</f>
        <v/>
      </c>
      <c r="L49" s="17">
        <f>IF(A49="","",COUNTIFS(Landscape!$C$2:$C$601,$D49,Landscape!$B$2:$B$601,"Domain to application"))</f>
        <v/>
      </c>
      <c r="M49" s="17">
        <f>IF(A49="","",COUNTIFS(Landscape!$C$2:$C$601,$D49,Landscape!$B$2:$B$601,"Application to object"))</f>
        <v/>
      </c>
      <c r="N49" s="17">
        <f>IF(A49="","",COUNTIFS(Landscape!$C$2:$C$601,$D49,Landscape!$B$2:$B$601,"Application to interface"))</f>
        <v/>
      </c>
      <c r="O49" s="17">
        <f>IF(A49="","",COUNTIFS(Landscape!$C$2:$C$601,$D49,Landscape!$B$2:$B$601,"Application to component"))</f>
        <v/>
      </c>
      <c r="P49" s="17">
        <f>IF(A49="","",COUNTIFS(Landscape!$C$2:$C$601,$D49,Landscape!$B$2:$B$601,"Application to market"))</f>
        <v/>
      </c>
      <c r="Q49" s="17">
        <f>IF(A49="","",COUNTIF(Constraints!$B$2:$B$201,$A49))</f>
        <v/>
      </c>
      <c r="R49" s="18">
        <f>IF(A49="","",IF(Q49&gt;Settings!$B$4,"OVER","ok"))</f>
        <v/>
      </c>
    </row>
    <row r="50">
      <c r="A50" s="19" t="n"/>
      <c r="B50" s="19" t="n"/>
      <c r="C50" s="19" t="n"/>
      <c r="D50" s="19" t="n"/>
      <c r="E50" s="19" t="n"/>
      <c r="F50" s="19" t="n"/>
      <c r="G50" s="19" t="n"/>
      <c r="H50" s="19" t="n"/>
      <c r="I50" s="19" t="n"/>
      <c r="J50" s="16">
        <f>IF(OR(C50="",I50=""),0,I50-C50)</f>
        <v/>
      </c>
      <c r="K50" s="13">
        <f>IF(A50="","",IF(J50&lt;=Settings!$B$5,"yes","LATE"))</f>
        <v/>
      </c>
      <c r="L50" s="17">
        <f>IF(A50="","",COUNTIFS(Landscape!$C$2:$C$601,$D50,Landscape!$B$2:$B$601,"Domain to application"))</f>
        <v/>
      </c>
      <c r="M50" s="17">
        <f>IF(A50="","",COUNTIFS(Landscape!$C$2:$C$601,$D50,Landscape!$B$2:$B$601,"Application to object"))</f>
        <v/>
      </c>
      <c r="N50" s="17">
        <f>IF(A50="","",COUNTIFS(Landscape!$C$2:$C$601,$D50,Landscape!$B$2:$B$601,"Application to interface"))</f>
        <v/>
      </c>
      <c r="O50" s="17">
        <f>IF(A50="","",COUNTIFS(Landscape!$C$2:$C$601,$D50,Landscape!$B$2:$B$601,"Application to component"))</f>
        <v/>
      </c>
      <c r="P50" s="17">
        <f>IF(A50="","",COUNTIFS(Landscape!$C$2:$C$601,$D50,Landscape!$B$2:$B$601,"Application to market"))</f>
        <v/>
      </c>
      <c r="Q50" s="17">
        <f>IF(A50="","",COUNTIF(Constraints!$B$2:$B$201,$A50))</f>
        <v/>
      </c>
      <c r="R50" s="18">
        <f>IF(A50="","",IF(Q50&gt;Settings!$B$4,"OVER","ok"))</f>
        <v/>
      </c>
    </row>
    <row r="51">
      <c r="A51" s="19" t="n"/>
      <c r="B51" s="19" t="n"/>
      <c r="C51" s="19" t="n"/>
      <c r="D51" s="19" t="n"/>
      <c r="E51" s="19" t="n"/>
      <c r="F51" s="19" t="n"/>
      <c r="G51" s="19" t="n"/>
      <c r="H51" s="19" t="n"/>
      <c r="I51" s="19" t="n"/>
      <c r="J51" s="16">
        <f>IF(OR(C51="",I51=""),0,I51-C51)</f>
        <v/>
      </c>
      <c r="K51" s="13">
        <f>IF(A51="","",IF(J51&lt;=Settings!$B$5,"yes","LATE"))</f>
        <v/>
      </c>
      <c r="L51" s="17">
        <f>IF(A51="","",COUNTIFS(Landscape!$C$2:$C$601,$D51,Landscape!$B$2:$B$601,"Domain to application"))</f>
        <v/>
      </c>
      <c r="M51" s="17">
        <f>IF(A51="","",COUNTIFS(Landscape!$C$2:$C$601,$D51,Landscape!$B$2:$B$601,"Application to object"))</f>
        <v/>
      </c>
      <c r="N51" s="17">
        <f>IF(A51="","",COUNTIFS(Landscape!$C$2:$C$601,$D51,Landscape!$B$2:$B$601,"Application to interface"))</f>
        <v/>
      </c>
      <c r="O51" s="17">
        <f>IF(A51="","",COUNTIFS(Landscape!$C$2:$C$601,$D51,Landscape!$B$2:$B$601,"Application to component"))</f>
        <v/>
      </c>
      <c r="P51" s="17">
        <f>IF(A51="","",COUNTIFS(Landscape!$C$2:$C$601,$D51,Landscape!$B$2:$B$601,"Application to market"))</f>
        <v/>
      </c>
      <c r="Q51" s="17">
        <f>IF(A51="","",COUNTIF(Constraints!$B$2:$B$201,$A51))</f>
        <v/>
      </c>
      <c r="R51" s="18">
        <f>IF(A51="","",IF(Q51&gt;Settings!$B$4,"OVER","ok"))</f>
        <v/>
      </c>
    </row>
    <row r="52">
      <c r="A52" s="19" t="n"/>
      <c r="B52" s="19" t="n"/>
      <c r="C52" s="19" t="n"/>
      <c r="D52" s="19" t="n"/>
      <c r="E52" s="19" t="n"/>
      <c r="F52" s="19" t="n"/>
      <c r="G52" s="19" t="n"/>
      <c r="H52" s="19" t="n"/>
      <c r="I52" s="19" t="n"/>
      <c r="J52" s="16">
        <f>IF(OR(C52="",I52=""),0,I52-C52)</f>
        <v/>
      </c>
      <c r="K52" s="13">
        <f>IF(A52="","",IF(J52&lt;=Settings!$B$5,"yes","LATE"))</f>
        <v/>
      </c>
      <c r="L52" s="17">
        <f>IF(A52="","",COUNTIFS(Landscape!$C$2:$C$601,$D52,Landscape!$B$2:$B$601,"Domain to application"))</f>
        <v/>
      </c>
      <c r="M52" s="17">
        <f>IF(A52="","",COUNTIFS(Landscape!$C$2:$C$601,$D52,Landscape!$B$2:$B$601,"Application to object"))</f>
        <v/>
      </c>
      <c r="N52" s="17">
        <f>IF(A52="","",COUNTIFS(Landscape!$C$2:$C$601,$D52,Landscape!$B$2:$B$601,"Application to interface"))</f>
        <v/>
      </c>
      <c r="O52" s="17">
        <f>IF(A52="","",COUNTIFS(Landscape!$C$2:$C$601,$D52,Landscape!$B$2:$B$601,"Application to component"))</f>
        <v/>
      </c>
      <c r="P52" s="17">
        <f>IF(A52="","",COUNTIFS(Landscape!$C$2:$C$601,$D52,Landscape!$B$2:$B$601,"Application to market"))</f>
        <v/>
      </c>
      <c r="Q52" s="17">
        <f>IF(A52="","",COUNTIF(Constraints!$B$2:$B$201,$A52))</f>
        <v/>
      </c>
      <c r="R52" s="18">
        <f>IF(A52="","",IF(Q52&gt;Settings!$B$4,"OVER","ok"))</f>
        <v/>
      </c>
    </row>
    <row r="53">
      <c r="A53" s="19" t="n"/>
      <c r="B53" s="19" t="n"/>
      <c r="C53" s="19" t="n"/>
      <c r="D53" s="19" t="n"/>
      <c r="E53" s="19" t="n"/>
      <c r="F53" s="19" t="n"/>
      <c r="G53" s="19" t="n"/>
      <c r="H53" s="19" t="n"/>
      <c r="I53" s="19" t="n"/>
      <c r="J53" s="16">
        <f>IF(OR(C53="",I53=""),0,I53-C53)</f>
        <v/>
      </c>
      <c r="K53" s="13">
        <f>IF(A53="","",IF(J53&lt;=Settings!$B$5,"yes","LATE"))</f>
        <v/>
      </c>
      <c r="L53" s="17">
        <f>IF(A53="","",COUNTIFS(Landscape!$C$2:$C$601,$D53,Landscape!$B$2:$B$601,"Domain to application"))</f>
        <v/>
      </c>
      <c r="M53" s="17">
        <f>IF(A53="","",COUNTIFS(Landscape!$C$2:$C$601,$D53,Landscape!$B$2:$B$601,"Application to object"))</f>
        <v/>
      </c>
      <c r="N53" s="17">
        <f>IF(A53="","",COUNTIFS(Landscape!$C$2:$C$601,$D53,Landscape!$B$2:$B$601,"Application to interface"))</f>
        <v/>
      </c>
      <c r="O53" s="17">
        <f>IF(A53="","",COUNTIFS(Landscape!$C$2:$C$601,$D53,Landscape!$B$2:$B$601,"Application to component"))</f>
        <v/>
      </c>
      <c r="P53" s="17">
        <f>IF(A53="","",COUNTIFS(Landscape!$C$2:$C$601,$D53,Landscape!$B$2:$B$601,"Application to market"))</f>
        <v/>
      </c>
      <c r="Q53" s="17">
        <f>IF(A53="","",COUNTIF(Constraints!$B$2:$B$201,$A53))</f>
        <v/>
      </c>
      <c r="R53" s="18">
        <f>IF(A53="","",IF(Q53&gt;Settings!$B$4,"OVER","ok"))</f>
        <v/>
      </c>
    </row>
    <row r="54">
      <c r="A54" s="19" t="n"/>
      <c r="B54" s="19" t="n"/>
      <c r="C54" s="19" t="n"/>
      <c r="D54" s="19" t="n"/>
      <c r="E54" s="19" t="n"/>
      <c r="F54" s="19" t="n"/>
      <c r="G54" s="19" t="n"/>
      <c r="H54" s="19" t="n"/>
      <c r="I54" s="19" t="n"/>
      <c r="J54" s="16">
        <f>IF(OR(C54="",I54=""),0,I54-C54)</f>
        <v/>
      </c>
      <c r="K54" s="13">
        <f>IF(A54="","",IF(J54&lt;=Settings!$B$5,"yes","LATE"))</f>
        <v/>
      </c>
      <c r="L54" s="17">
        <f>IF(A54="","",COUNTIFS(Landscape!$C$2:$C$601,$D54,Landscape!$B$2:$B$601,"Domain to application"))</f>
        <v/>
      </c>
      <c r="M54" s="17">
        <f>IF(A54="","",COUNTIFS(Landscape!$C$2:$C$601,$D54,Landscape!$B$2:$B$601,"Application to object"))</f>
        <v/>
      </c>
      <c r="N54" s="17">
        <f>IF(A54="","",COUNTIFS(Landscape!$C$2:$C$601,$D54,Landscape!$B$2:$B$601,"Application to interface"))</f>
        <v/>
      </c>
      <c r="O54" s="17">
        <f>IF(A54="","",COUNTIFS(Landscape!$C$2:$C$601,$D54,Landscape!$B$2:$B$601,"Application to component"))</f>
        <v/>
      </c>
      <c r="P54" s="17">
        <f>IF(A54="","",COUNTIFS(Landscape!$C$2:$C$601,$D54,Landscape!$B$2:$B$601,"Application to market"))</f>
        <v/>
      </c>
      <c r="Q54" s="17">
        <f>IF(A54="","",COUNTIF(Constraints!$B$2:$B$201,$A54))</f>
        <v/>
      </c>
      <c r="R54" s="18">
        <f>IF(A54="","",IF(Q54&gt;Settings!$B$4,"OVER","ok"))</f>
        <v/>
      </c>
    </row>
    <row r="55">
      <c r="A55" s="19" t="n"/>
      <c r="B55" s="19" t="n"/>
      <c r="C55" s="19" t="n"/>
      <c r="D55" s="19" t="n"/>
      <c r="E55" s="19" t="n"/>
      <c r="F55" s="19" t="n"/>
      <c r="G55" s="19" t="n"/>
      <c r="H55" s="19" t="n"/>
      <c r="I55" s="19" t="n"/>
      <c r="J55" s="16">
        <f>IF(OR(C55="",I55=""),0,I55-C55)</f>
        <v/>
      </c>
      <c r="K55" s="13">
        <f>IF(A55="","",IF(J55&lt;=Settings!$B$5,"yes","LATE"))</f>
        <v/>
      </c>
      <c r="L55" s="17">
        <f>IF(A55="","",COUNTIFS(Landscape!$C$2:$C$601,$D55,Landscape!$B$2:$B$601,"Domain to application"))</f>
        <v/>
      </c>
      <c r="M55" s="17">
        <f>IF(A55="","",COUNTIFS(Landscape!$C$2:$C$601,$D55,Landscape!$B$2:$B$601,"Application to object"))</f>
        <v/>
      </c>
      <c r="N55" s="17">
        <f>IF(A55="","",COUNTIFS(Landscape!$C$2:$C$601,$D55,Landscape!$B$2:$B$601,"Application to interface"))</f>
        <v/>
      </c>
      <c r="O55" s="17">
        <f>IF(A55="","",COUNTIFS(Landscape!$C$2:$C$601,$D55,Landscape!$B$2:$B$601,"Application to component"))</f>
        <v/>
      </c>
      <c r="P55" s="17">
        <f>IF(A55="","",COUNTIFS(Landscape!$C$2:$C$601,$D55,Landscape!$B$2:$B$601,"Application to market"))</f>
        <v/>
      </c>
      <c r="Q55" s="17">
        <f>IF(A55="","",COUNTIF(Constraints!$B$2:$B$201,$A55))</f>
        <v/>
      </c>
      <c r="R55" s="18">
        <f>IF(A55="","",IF(Q55&gt;Settings!$B$4,"OVER","ok"))</f>
        <v/>
      </c>
    </row>
    <row r="56">
      <c r="A56" s="19" t="n"/>
      <c r="B56" s="19" t="n"/>
      <c r="C56" s="19" t="n"/>
      <c r="D56" s="19" t="n"/>
      <c r="E56" s="19" t="n"/>
      <c r="F56" s="19" t="n"/>
      <c r="G56" s="19" t="n"/>
      <c r="H56" s="19" t="n"/>
      <c r="I56" s="19" t="n"/>
      <c r="J56" s="16">
        <f>IF(OR(C56="",I56=""),0,I56-C56)</f>
        <v/>
      </c>
      <c r="K56" s="13">
        <f>IF(A56="","",IF(J56&lt;=Settings!$B$5,"yes","LATE"))</f>
        <v/>
      </c>
      <c r="L56" s="17">
        <f>IF(A56="","",COUNTIFS(Landscape!$C$2:$C$601,$D56,Landscape!$B$2:$B$601,"Domain to application"))</f>
        <v/>
      </c>
      <c r="M56" s="17">
        <f>IF(A56="","",COUNTIFS(Landscape!$C$2:$C$601,$D56,Landscape!$B$2:$B$601,"Application to object"))</f>
        <v/>
      </c>
      <c r="N56" s="17">
        <f>IF(A56="","",COUNTIFS(Landscape!$C$2:$C$601,$D56,Landscape!$B$2:$B$601,"Application to interface"))</f>
        <v/>
      </c>
      <c r="O56" s="17">
        <f>IF(A56="","",COUNTIFS(Landscape!$C$2:$C$601,$D56,Landscape!$B$2:$B$601,"Application to component"))</f>
        <v/>
      </c>
      <c r="P56" s="17">
        <f>IF(A56="","",COUNTIFS(Landscape!$C$2:$C$601,$D56,Landscape!$B$2:$B$601,"Application to market"))</f>
        <v/>
      </c>
      <c r="Q56" s="17">
        <f>IF(A56="","",COUNTIF(Constraints!$B$2:$B$201,$A56))</f>
        <v/>
      </c>
      <c r="R56" s="18">
        <f>IF(A56="","",IF(Q56&gt;Settings!$B$4,"OVER","ok"))</f>
        <v/>
      </c>
    </row>
    <row r="57">
      <c r="A57" s="19" t="n"/>
      <c r="B57" s="19" t="n"/>
      <c r="C57" s="19" t="n"/>
      <c r="D57" s="19" t="n"/>
      <c r="E57" s="19" t="n"/>
      <c r="F57" s="19" t="n"/>
      <c r="G57" s="19" t="n"/>
      <c r="H57" s="19" t="n"/>
      <c r="I57" s="19" t="n"/>
      <c r="J57" s="16">
        <f>IF(OR(C57="",I57=""),0,I57-C57)</f>
        <v/>
      </c>
      <c r="K57" s="13">
        <f>IF(A57="","",IF(J57&lt;=Settings!$B$5,"yes","LATE"))</f>
        <v/>
      </c>
      <c r="L57" s="17">
        <f>IF(A57="","",COUNTIFS(Landscape!$C$2:$C$601,$D57,Landscape!$B$2:$B$601,"Domain to application"))</f>
        <v/>
      </c>
      <c r="M57" s="17">
        <f>IF(A57="","",COUNTIFS(Landscape!$C$2:$C$601,$D57,Landscape!$B$2:$B$601,"Application to object"))</f>
        <v/>
      </c>
      <c r="N57" s="17">
        <f>IF(A57="","",COUNTIFS(Landscape!$C$2:$C$601,$D57,Landscape!$B$2:$B$601,"Application to interface"))</f>
        <v/>
      </c>
      <c r="O57" s="17">
        <f>IF(A57="","",COUNTIFS(Landscape!$C$2:$C$601,$D57,Landscape!$B$2:$B$601,"Application to component"))</f>
        <v/>
      </c>
      <c r="P57" s="17">
        <f>IF(A57="","",COUNTIFS(Landscape!$C$2:$C$601,$D57,Landscape!$B$2:$B$601,"Application to market"))</f>
        <v/>
      </c>
      <c r="Q57" s="17">
        <f>IF(A57="","",COUNTIF(Constraints!$B$2:$B$201,$A57))</f>
        <v/>
      </c>
      <c r="R57" s="18">
        <f>IF(A57="","",IF(Q57&gt;Settings!$B$4,"OVER","ok"))</f>
        <v/>
      </c>
    </row>
    <row r="58">
      <c r="A58" s="19" t="n"/>
      <c r="B58" s="19" t="n"/>
      <c r="C58" s="19" t="n"/>
      <c r="D58" s="19" t="n"/>
      <c r="E58" s="19" t="n"/>
      <c r="F58" s="19" t="n"/>
      <c r="G58" s="19" t="n"/>
      <c r="H58" s="19" t="n"/>
      <c r="I58" s="19" t="n"/>
      <c r="J58" s="16">
        <f>IF(OR(C58="",I58=""),0,I58-C58)</f>
        <v/>
      </c>
      <c r="K58" s="13">
        <f>IF(A58="","",IF(J58&lt;=Settings!$B$5,"yes","LATE"))</f>
        <v/>
      </c>
      <c r="L58" s="17">
        <f>IF(A58="","",COUNTIFS(Landscape!$C$2:$C$601,$D58,Landscape!$B$2:$B$601,"Domain to application"))</f>
        <v/>
      </c>
      <c r="M58" s="17">
        <f>IF(A58="","",COUNTIFS(Landscape!$C$2:$C$601,$D58,Landscape!$B$2:$B$601,"Application to object"))</f>
        <v/>
      </c>
      <c r="N58" s="17">
        <f>IF(A58="","",COUNTIFS(Landscape!$C$2:$C$601,$D58,Landscape!$B$2:$B$601,"Application to interface"))</f>
        <v/>
      </c>
      <c r="O58" s="17">
        <f>IF(A58="","",COUNTIFS(Landscape!$C$2:$C$601,$D58,Landscape!$B$2:$B$601,"Application to component"))</f>
        <v/>
      </c>
      <c r="P58" s="17">
        <f>IF(A58="","",COUNTIFS(Landscape!$C$2:$C$601,$D58,Landscape!$B$2:$B$601,"Application to market"))</f>
        <v/>
      </c>
      <c r="Q58" s="17">
        <f>IF(A58="","",COUNTIF(Constraints!$B$2:$B$201,$A58))</f>
        <v/>
      </c>
      <c r="R58" s="18">
        <f>IF(A58="","",IF(Q58&gt;Settings!$B$4,"OVER","ok"))</f>
        <v/>
      </c>
    </row>
    <row r="59">
      <c r="A59" s="19" t="n"/>
      <c r="B59" s="19" t="n"/>
      <c r="C59" s="19" t="n"/>
      <c r="D59" s="19" t="n"/>
      <c r="E59" s="19" t="n"/>
      <c r="F59" s="19" t="n"/>
      <c r="G59" s="19" t="n"/>
      <c r="H59" s="19" t="n"/>
      <c r="I59" s="19" t="n"/>
      <c r="J59" s="16">
        <f>IF(OR(C59="",I59=""),0,I59-C59)</f>
        <v/>
      </c>
      <c r="K59" s="13">
        <f>IF(A59="","",IF(J59&lt;=Settings!$B$5,"yes","LATE"))</f>
        <v/>
      </c>
      <c r="L59" s="17">
        <f>IF(A59="","",COUNTIFS(Landscape!$C$2:$C$601,$D59,Landscape!$B$2:$B$601,"Domain to application"))</f>
        <v/>
      </c>
      <c r="M59" s="17">
        <f>IF(A59="","",COUNTIFS(Landscape!$C$2:$C$601,$D59,Landscape!$B$2:$B$601,"Application to object"))</f>
        <v/>
      </c>
      <c r="N59" s="17">
        <f>IF(A59="","",COUNTIFS(Landscape!$C$2:$C$601,$D59,Landscape!$B$2:$B$601,"Application to interface"))</f>
        <v/>
      </c>
      <c r="O59" s="17">
        <f>IF(A59="","",COUNTIFS(Landscape!$C$2:$C$601,$D59,Landscape!$B$2:$B$601,"Application to component"))</f>
        <v/>
      </c>
      <c r="P59" s="17">
        <f>IF(A59="","",COUNTIFS(Landscape!$C$2:$C$601,$D59,Landscape!$B$2:$B$601,"Application to market"))</f>
        <v/>
      </c>
      <c r="Q59" s="17">
        <f>IF(A59="","",COUNTIF(Constraints!$B$2:$B$201,$A59))</f>
        <v/>
      </c>
      <c r="R59" s="18">
        <f>IF(A59="","",IF(Q59&gt;Settings!$B$4,"OVER","ok"))</f>
        <v/>
      </c>
    </row>
    <row r="60">
      <c r="A60" s="19" t="n"/>
      <c r="B60" s="19" t="n"/>
      <c r="C60" s="19" t="n"/>
      <c r="D60" s="19" t="n"/>
      <c r="E60" s="19" t="n"/>
      <c r="F60" s="19" t="n"/>
      <c r="G60" s="19" t="n"/>
      <c r="H60" s="19" t="n"/>
      <c r="I60" s="19" t="n"/>
      <c r="J60" s="16">
        <f>IF(OR(C60="",I60=""),0,I60-C60)</f>
        <v/>
      </c>
      <c r="K60" s="13">
        <f>IF(A60="","",IF(J60&lt;=Settings!$B$5,"yes","LATE"))</f>
        <v/>
      </c>
      <c r="L60" s="17">
        <f>IF(A60="","",COUNTIFS(Landscape!$C$2:$C$601,$D60,Landscape!$B$2:$B$601,"Domain to application"))</f>
        <v/>
      </c>
      <c r="M60" s="17">
        <f>IF(A60="","",COUNTIFS(Landscape!$C$2:$C$601,$D60,Landscape!$B$2:$B$601,"Application to object"))</f>
        <v/>
      </c>
      <c r="N60" s="17">
        <f>IF(A60="","",COUNTIFS(Landscape!$C$2:$C$601,$D60,Landscape!$B$2:$B$601,"Application to interface"))</f>
        <v/>
      </c>
      <c r="O60" s="17">
        <f>IF(A60="","",COUNTIFS(Landscape!$C$2:$C$601,$D60,Landscape!$B$2:$B$601,"Application to component"))</f>
        <v/>
      </c>
      <c r="P60" s="17">
        <f>IF(A60="","",COUNTIFS(Landscape!$C$2:$C$601,$D60,Landscape!$B$2:$B$601,"Application to market"))</f>
        <v/>
      </c>
      <c r="Q60" s="17">
        <f>IF(A60="","",COUNTIF(Constraints!$B$2:$B$201,$A60))</f>
        <v/>
      </c>
      <c r="R60" s="18">
        <f>IF(A60="","",IF(Q60&gt;Settings!$B$4,"OVER","ok"))</f>
        <v/>
      </c>
    </row>
    <row r="61">
      <c r="A61" s="19" t="n"/>
      <c r="B61" s="19" t="n"/>
      <c r="C61" s="19" t="n"/>
      <c r="D61" s="19" t="n"/>
      <c r="E61" s="19" t="n"/>
      <c r="F61" s="19" t="n"/>
      <c r="G61" s="19" t="n"/>
      <c r="H61" s="19" t="n"/>
      <c r="I61" s="19" t="n"/>
      <c r="J61" s="16">
        <f>IF(OR(C61="",I61=""),0,I61-C61)</f>
        <v/>
      </c>
      <c r="K61" s="13">
        <f>IF(A61="","",IF(J61&lt;=Settings!$B$5,"yes","LATE"))</f>
        <v/>
      </c>
      <c r="L61" s="17">
        <f>IF(A61="","",COUNTIFS(Landscape!$C$2:$C$601,$D61,Landscape!$B$2:$B$601,"Domain to application"))</f>
        <v/>
      </c>
      <c r="M61" s="17">
        <f>IF(A61="","",COUNTIFS(Landscape!$C$2:$C$601,$D61,Landscape!$B$2:$B$601,"Application to object"))</f>
        <v/>
      </c>
      <c r="N61" s="17">
        <f>IF(A61="","",COUNTIFS(Landscape!$C$2:$C$601,$D61,Landscape!$B$2:$B$601,"Application to interface"))</f>
        <v/>
      </c>
      <c r="O61" s="17">
        <f>IF(A61="","",COUNTIFS(Landscape!$C$2:$C$601,$D61,Landscape!$B$2:$B$601,"Application to component"))</f>
        <v/>
      </c>
      <c r="P61" s="17">
        <f>IF(A61="","",COUNTIFS(Landscape!$C$2:$C$601,$D61,Landscape!$B$2:$B$601,"Application to market"))</f>
        <v/>
      </c>
      <c r="Q61" s="17">
        <f>IF(A61="","",COUNTIF(Constraints!$B$2:$B$201,$A61))</f>
        <v/>
      </c>
      <c r="R61" s="18">
        <f>IF(A61="","",IF(Q61&gt;Settings!$B$4,"OVER","ok"))</f>
        <v/>
      </c>
    </row>
    <row r="62">
      <c r="A62" s="19" t="n"/>
      <c r="B62" s="19" t="n"/>
      <c r="C62" s="19" t="n"/>
      <c r="D62" s="19" t="n"/>
      <c r="E62" s="19" t="n"/>
      <c r="F62" s="19" t="n"/>
      <c r="G62" s="19" t="n"/>
      <c r="H62" s="19" t="n"/>
      <c r="I62" s="19" t="n"/>
      <c r="J62" s="16">
        <f>IF(OR(C62="",I62=""),0,I62-C62)</f>
        <v/>
      </c>
      <c r="K62" s="13">
        <f>IF(A62="","",IF(J62&lt;=Settings!$B$5,"yes","LATE"))</f>
        <v/>
      </c>
      <c r="L62" s="17">
        <f>IF(A62="","",COUNTIFS(Landscape!$C$2:$C$601,$D62,Landscape!$B$2:$B$601,"Domain to application"))</f>
        <v/>
      </c>
      <c r="M62" s="17">
        <f>IF(A62="","",COUNTIFS(Landscape!$C$2:$C$601,$D62,Landscape!$B$2:$B$601,"Application to object"))</f>
        <v/>
      </c>
      <c r="N62" s="17">
        <f>IF(A62="","",COUNTIFS(Landscape!$C$2:$C$601,$D62,Landscape!$B$2:$B$601,"Application to interface"))</f>
        <v/>
      </c>
      <c r="O62" s="17">
        <f>IF(A62="","",COUNTIFS(Landscape!$C$2:$C$601,$D62,Landscape!$B$2:$B$601,"Application to component"))</f>
        <v/>
      </c>
      <c r="P62" s="17">
        <f>IF(A62="","",COUNTIFS(Landscape!$C$2:$C$601,$D62,Landscape!$B$2:$B$601,"Application to market"))</f>
        <v/>
      </c>
      <c r="Q62" s="17">
        <f>IF(A62="","",COUNTIF(Constraints!$B$2:$B$201,$A62))</f>
        <v/>
      </c>
      <c r="R62" s="18">
        <f>IF(A62="","",IF(Q62&gt;Settings!$B$4,"OVER","ok"))</f>
        <v/>
      </c>
    </row>
    <row r="63">
      <c r="A63" s="19" t="n"/>
      <c r="B63" s="19" t="n"/>
      <c r="C63" s="19" t="n"/>
      <c r="D63" s="19" t="n"/>
      <c r="E63" s="19" t="n"/>
      <c r="F63" s="19" t="n"/>
      <c r="G63" s="19" t="n"/>
      <c r="H63" s="19" t="n"/>
      <c r="I63" s="19" t="n"/>
      <c r="J63" s="16">
        <f>IF(OR(C63="",I63=""),0,I63-C63)</f>
        <v/>
      </c>
      <c r="K63" s="13">
        <f>IF(A63="","",IF(J63&lt;=Settings!$B$5,"yes","LATE"))</f>
        <v/>
      </c>
      <c r="L63" s="17">
        <f>IF(A63="","",COUNTIFS(Landscape!$C$2:$C$601,$D63,Landscape!$B$2:$B$601,"Domain to application"))</f>
        <v/>
      </c>
      <c r="M63" s="17">
        <f>IF(A63="","",COUNTIFS(Landscape!$C$2:$C$601,$D63,Landscape!$B$2:$B$601,"Application to object"))</f>
        <v/>
      </c>
      <c r="N63" s="17">
        <f>IF(A63="","",COUNTIFS(Landscape!$C$2:$C$601,$D63,Landscape!$B$2:$B$601,"Application to interface"))</f>
        <v/>
      </c>
      <c r="O63" s="17">
        <f>IF(A63="","",COUNTIFS(Landscape!$C$2:$C$601,$D63,Landscape!$B$2:$B$601,"Application to component"))</f>
        <v/>
      </c>
      <c r="P63" s="17">
        <f>IF(A63="","",COUNTIFS(Landscape!$C$2:$C$601,$D63,Landscape!$B$2:$B$601,"Application to market"))</f>
        <v/>
      </c>
      <c r="Q63" s="17">
        <f>IF(A63="","",COUNTIF(Constraints!$B$2:$B$201,$A63))</f>
        <v/>
      </c>
      <c r="R63" s="18">
        <f>IF(A63="","",IF(Q63&gt;Settings!$B$4,"OVER","ok"))</f>
        <v/>
      </c>
    </row>
    <row r="64">
      <c r="A64" s="19" t="n"/>
      <c r="B64" s="19" t="n"/>
      <c r="C64" s="19" t="n"/>
      <c r="D64" s="19" t="n"/>
      <c r="E64" s="19" t="n"/>
      <c r="F64" s="19" t="n"/>
      <c r="G64" s="19" t="n"/>
      <c r="H64" s="19" t="n"/>
      <c r="I64" s="19" t="n"/>
      <c r="J64" s="16">
        <f>IF(OR(C64="",I64=""),0,I64-C64)</f>
        <v/>
      </c>
      <c r="K64" s="13">
        <f>IF(A64="","",IF(J64&lt;=Settings!$B$5,"yes","LATE"))</f>
        <v/>
      </c>
      <c r="L64" s="17">
        <f>IF(A64="","",COUNTIFS(Landscape!$C$2:$C$601,$D64,Landscape!$B$2:$B$601,"Domain to application"))</f>
        <v/>
      </c>
      <c r="M64" s="17">
        <f>IF(A64="","",COUNTIFS(Landscape!$C$2:$C$601,$D64,Landscape!$B$2:$B$601,"Application to object"))</f>
        <v/>
      </c>
      <c r="N64" s="17">
        <f>IF(A64="","",COUNTIFS(Landscape!$C$2:$C$601,$D64,Landscape!$B$2:$B$601,"Application to interface"))</f>
        <v/>
      </c>
      <c r="O64" s="17">
        <f>IF(A64="","",COUNTIFS(Landscape!$C$2:$C$601,$D64,Landscape!$B$2:$B$601,"Application to component"))</f>
        <v/>
      </c>
      <c r="P64" s="17">
        <f>IF(A64="","",COUNTIFS(Landscape!$C$2:$C$601,$D64,Landscape!$B$2:$B$601,"Application to market"))</f>
        <v/>
      </c>
      <c r="Q64" s="17">
        <f>IF(A64="","",COUNTIF(Constraints!$B$2:$B$201,$A64))</f>
        <v/>
      </c>
      <c r="R64" s="18">
        <f>IF(A64="","",IF(Q64&gt;Settings!$B$4,"OVER","ok"))</f>
        <v/>
      </c>
    </row>
    <row r="65">
      <c r="A65" s="19" t="n"/>
      <c r="B65" s="19" t="n"/>
      <c r="C65" s="19" t="n"/>
      <c r="D65" s="19" t="n"/>
      <c r="E65" s="19" t="n"/>
      <c r="F65" s="19" t="n"/>
      <c r="G65" s="19" t="n"/>
      <c r="H65" s="19" t="n"/>
      <c r="I65" s="19" t="n"/>
      <c r="J65" s="16">
        <f>IF(OR(C65="",I65=""),0,I65-C65)</f>
        <v/>
      </c>
      <c r="K65" s="13">
        <f>IF(A65="","",IF(J65&lt;=Settings!$B$5,"yes","LATE"))</f>
        <v/>
      </c>
      <c r="L65" s="17">
        <f>IF(A65="","",COUNTIFS(Landscape!$C$2:$C$601,$D65,Landscape!$B$2:$B$601,"Domain to application"))</f>
        <v/>
      </c>
      <c r="M65" s="17">
        <f>IF(A65="","",COUNTIFS(Landscape!$C$2:$C$601,$D65,Landscape!$B$2:$B$601,"Application to object"))</f>
        <v/>
      </c>
      <c r="N65" s="17">
        <f>IF(A65="","",COUNTIFS(Landscape!$C$2:$C$601,$D65,Landscape!$B$2:$B$601,"Application to interface"))</f>
        <v/>
      </c>
      <c r="O65" s="17">
        <f>IF(A65="","",COUNTIFS(Landscape!$C$2:$C$601,$D65,Landscape!$B$2:$B$601,"Application to component"))</f>
        <v/>
      </c>
      <c r="P65" s="17">
        <f>IF(A65="","",COUNTIFS(Landscape!$C$2:$C$601,$D65,Landscape!$B$2:$B$601,"Application to market"))</f>
        <v/>
      </c>
      <c r="Q65" s="17">
        <f>IF(A65="","",COUNTIF(Constraints!$B$2:$B$201,$A65))</f>
        <v/>
      </c>
      <c r="R65" s="18">
        <f>IF(A65="","",IF(Q65&gt;Settings!$B$4,"OVER","ok"))</f>
        <v/>
      </c>
    </row>
    <row r="66">
      <c r="A66" s="19" t="n"/>
      <c r="B66" s="19" t="n"/>
      <c r="C66" s="19" t="n"/>
      <c r="D66" s="19" t="n"/>
      <c r="E66" s="19" t="n"/>
      <c r="F66" s="19" t="n"/>
      <c r="G66" s="19" t="n"/>
      <c r="H66" s="19" t="n"/>
      <c r="I66" s="19" t="n"/>
      <c r="J66" s="16">
        <f>IF(OR(C66="",I66=""),0,I66-C66)</f>
        <v/>
      </c>
      <c r="K66" s="13">
        <f>IF(A66="","",IF(J66&lt;=Settings!$B$5,"yes","LATE"))</f>
        <v/>
      </c>
      <c r="L66" s="17">
        <f>IF(A66="","",COUNTIFS(Landscape!$C$2:$C$601,$D66,Landscape!$B$2:$B$601,"Domain to application"))</f>
        <v/>
      </c>
      <c r="M66" s="17">
        <f>IF(A66="","",COUNTIFS(Landscape!$C$2:$C$601,$D66,Landscape!$B$2:$B$601,"Application to object"))</f>
        <v/>
      </c>
      <c r="N66" s="17">
        <f>IF(A66="","",COUNTIFS(Landscape!$C$2:$C$601,$D66,Landscape!$B$2:$B$601,"Application to interface"))</f>
        <v/>
      </c>
      <c r="O66" s="17">
        <f>IF(A66="","",COUNTIFS(Landscape!$C$2:$C$601,$D66,Landscape!$B$2:$B$601,"Application to component"))</f>
        <v/>
      </c>
      <c r="P66" s="17">
        <f>IF(A66="","",COUNTIFS(Landscape!$C$2:$C$601,$D66,Landscape!$B$2:$B$601,"Application to market"))</f>
        <v/>
      </c>
      <c r="Q66" s="17">
        <f>IF(A66="","",COUNTIF(Constraints!$B$2:$B$201,$A66))</f>
        <v/>
      </c>
      <c r="R66" s="18">
        <f>IF(A66="","",IF(Q66&gt;Settings!$B$4,"OVER","ok"))</f>
        <v/>
      </c>
    </row>
    <row r="67">
      <c r="A67" s="19" t="n"/>
      <c r="B67" s="19" t="n"/>
      <c r="C67" s="19" t="n"/>
      <c r="D67" s="19" t="n"/>
      <c r="E67" s="19" t="n"/>
      <c r="F67" s="19" t="n"/>
      <c r="G67" s="19" t="n"/>
      <c r="H67" s="19" t="n"/>
      <c r="I67" s="19" t="n"/>
      <c r="J67" s="16">
        <f>IF(OR(C67="",I67=""),0,I67-C67)</f>
        <v/>
      </c>
      <c r="K67" s="13">
        <f>IF(A67="","",IF(J67&lt;=Settings!$B$5,"yes","LATE"))</f>
        <v/>
      </c>
      <c r="L67" s="17">
        <f>IF(A67="","",COUNTIFS(Landscape!$C$2:$C$601,$D67,Landscape!$B$2:$B$601,"Domain to application"))</f>
        <v/>
      </c>
      <c r="M67" s="17">
        <f>IF(A67="","",COUNTIFS(Landscape!$C$2:$C$601,$D67,Landscape!$B$2:$B$601,"Application to object"))</f>
        <v/>
      </c>
      <c r="N67" s="17">
        <f>IF(A67="","",COUNTIFS(Landscape!$C$2:$C$601,$D67,Landscape!$B$2:$B$601,"Application to interface"))</f>
        <v/>
      </c>
      <c r="O67" s="17">
        <f>IF(A67="","",COUNTIFS(Landscape!$C$2:$C$601,$D67,Landscape!$B$2:$B$601,"Application to component"))</f>
        <v/>
      </c>
      <c r="P67" s="17">
        <f>IF(A67="","",COUNTIFS(Landscape!$C$2:$C$601,$D67,Landscape!$B$2:$B$601,"Application to market"))</f>
        <v/>
      </c>
      <c r="Q67" s="17">
        <f>IF(A67="","",COUNTIF(Constraints!$B$2:$B$201,$A67))</f>
        <v/>
      </c>
      <c r="R67" s="18">
        <f>IF(A67="","",IF(Q67&gt;Settings!$B$4,"OVER","ok"))</f>
        <v/>
      </c>
    </row>
    <row r="68">
      <c r="A68" s="19" t="n"/>
      <c r="B68" s="19" t="n"/>
      <c r="C68" s="19" t="n"/>
      <c r="D68" s="19" t="n"/>
      <c r="E68" s="19" t="n"/>
      <c r="F68" s="19" t="n"/>
      <c r="G68" s="19" t="n"/>
      <c r="H68" s="19" t="n"/>
      <c r="I68" s="19" t="n"/>
      <c r="J68" s="16">
        <f>IF(OR(C68="",I68=""),0,I68-C68)</f>
        <v/>
      </c>
      <c r="K68" s="13">
        <f>IF(A68="","",IF(J68&lt;=Settings!$B$5,"yes","LATE"))</f>
        <v/>
      </c>
      <c r="L68" s="17">
        <f>IF(A68="","",COUNTIFS(Landscape!$C$2:$C$601,$D68,Landscape!$B$2:$B$601,"Domain to application"))</f>
        <v/>
      </c>
      <c r="M68" s="17">
        <f>IF(A68="","",COUNTIFS(Landscape!$C$2:$C$601,$D68,Landscape!$B$2:$B$601,"Application to object"))</f>
        <v/>
      </c>
      <c r="N68" s="17">
        <f>IF(A68="","",COUNTIFS(Landscape!$C$2:$C$601,$D68,Landscape!$B$2:$B$601,"Application to interface"))</f>
        <v/>
      </c>
      <c r="O68" s="17">
        <f>IF(A68="","",COUNTIFS(Landscape!$C$2:$C$601,$D68,Landscape!$B$2:$B$601,"Application to component"))</f>
        <v/>
      </c>
      <c r="P68" s="17">
        <f>IF(A68="","",COUNTIFS(Landscape!$C$2:$C$601,$D68,Landscape!$B$2:$B$601,"Application to market"))</f>
        <v/>
      </c>
      <c r="Q68" s="17">
        <f>IF(A68="","",COUNTIF(Constraints!$B$2:$B$201,$A68))</f>
        <v/>
      </c>
      <c r="R68" s="18">
        <f>IF(A68="","",IF(Q68&gt;Settings!$B$4,"OVER","ok"))</f>
        <v/>
      </c>
    </row>
    <row r="69">
      <c r="A69" s="19" t="n"/>
      <c r="B69" s="19" t="n"/>
      <c r="C69" s="19" t="n"/>
      <c r="D69" s="19" t="n"/>
      <c r="E69" s="19" t="n"/>
      <c r="F69" s="19" t="n"/>
      <c r="G69" s="19" t="n"/>
      <c r="H69" s="19" t="n"/>
      <c r="I69" s="19" t="n"/>
      <c r="J69" s="16">
        <f>IF(OR(C69="",I69=""),0,I69-C69)</f>
        <v/>
      </c>
      <c r="K69" s="13">
        <f>IF(A69="","",IF(J69&lt;=Settings!$B$5,"yes","LATE"))</f>
        <v/>
      </c>
      <c r="L69" s="17">
        <f>IF(A69="","",COUNTIFS(Landscape!$C$2:$C$601,$D69,Landscape!$B$2:$B$601,"Domain to application"))</f>
        <v/>
      </c>
      <c r="M69" s="17">
        <f>IF(A69="","",COUNTIFS(Landscape!$C$2:$C$601,$D69,Landscape!$B$2:$B$601,"Application to object"))</f>
        <v/>
      </c>
      <c r="N69" s="17">
        <f>IF(A69="","",COUNTIFS(Landscape!$C$2:$C$601,$D69,Landscape!$B$2:$B$601,"Application to interface"))</f>
        <v/>
      </c>
      <c r="O69" s="17">
        <f>IF(A69="","",COUNTIFS(Landscape!$C$2:$C$601,$D69,Landscape!$B$2:$B$601,"Application to component"))</f>
        <v/>
      </c>
      <c r="P69" s="17">
        <f>IF(A69="","",COUNTIFS(Landscape!$C$2:$C$601,$D69,Landscape!$B$2:$B$601,"Application to market"))</f>
        <v/>
      </c>
      <c r="Q69" s="17">
        <f>IF(A69="","",COUNTIF(Constraints!$B$2:$B$201,$A69))</f>
        <v/>
      </c>
      <c r="R69" s="18">
        <f>IF(A69="","",IF(Q69&gt;Settings!$B$4,"OVER","ok"))</f>
        <v/>
      </c>
    </row>
    <row r="70">
      <c r="A70" s="19" t="n"/>
      <c r="B70" s="19" t="n"/>
      <c r="C70" s="19" t="n"/>
      <c r="D70" s="19" t="n"/>
      <c r="E70" s="19" t="n"/>
      <c r="F70" s="19" t="n"/>
      <c r="G70" s="19" t="n"/>
      <c r="H70" s="19" t="n"/>
      <c r="I70" s="19" t="n"/>
      <c r="J70" s="16">
        <f>IF(OR(C70="",I70=""),0,I70-C70)</f>
        <v/>
      </c>
      <c r="K70" s="13">
        <f>IF(A70="","",IF(J70&lt;=Settings!$B$5,"yes","LATE"))</f>
        <v/>
      </c>
      <c r="L70" s="17">
        <f>IF(A70="","",COUNTIFS(Landscape!$C$2:$C$601,$D70,Landscape!$B$2:$B$601,"Domain to application"))</f>
        <v/>
      </c>
      <c r="M70" s="17">
        <f>IF(A70="","",COUNTIFS(Landscape!$C$2:$C$601,$D70,Landscape!$B$2:$B$601,"Application to object"))</f>
        <v/>
      </c>
      <c r="N70" s="17">
        <f>IF(A70="","",COUNTIFS(Landscape!$C$2:$C$601,$D70,Landscape!$B$2:$B$601,"Application to interface"))</f>
        <v/>
      </c>
      <c r="O70" s="17">
        <f>IF(A70="","",COUNTIFS(Landscape!$C$2:$C$601,$D70,Landscape!$B$2:$B$601,"Application to component"))</f>
        <v/>
      </c>
      <c r="P70" s="17">
        <f>IF(A70="","",COUNTIFS(Landscape!$C$2:$C$601,$D70,Landscape!$B$2:$B$601,"Application to market"))</f>
        <v/>
      </c>
      <c r="Q70" s="17">
        <f>IF(A70="","",COUNTIF(Constraints!$B$2:$B$201,$A70))</f>
        <v/>
      </c>
      <c r="R70" s="18">
        <f>IF(A70="","",IF(Q70&gt;Settings!$B$4,"OVER","ok"))</f>
        <v/>
      </c>
    </row>
    <row r="71">
      <c r="A71" s="19" t="n"/>
      <c r="B71" s="19" t="n"/>
      <c r="C71" s="19" t="n"/>
      <c r="D71" s="19" t="n"/>
      <c r="E71" s="19" t="n"/>
      <c r="F71" s="19" t="n"/>
      <c r="G71" s="19" t="n"/>
      <c r="H71" s="19" t="n"/>
      <c r="I71" s="19" t="n"/>
      <c r="J71" s="16">
        <f>IF(OR(C71="",I71=""),0,I71-C71)</f>
        <v/>
      </c>
      <c r="K71" s="13">
        <f>IF(A71="","",IF(J71&lt;=Settings!$B$5,"yes","LATE"))</f>
        <v/>
      </c>
      <c r="L71" s="17">
        <f>IF(A71="","",COUNTIFS(Landscape!$C$2:$C$601,$D71,Landscape!$B$2:$B$601,"Domain to application"))</f>
        <v/>
      </c>
      <c r="M71" s="17">
        <f>IF(A71="","",COUNTIFS(Landscape!$C$2:$C$601,$D71,Landscape!$B$2:$B$601,"Application to object"))</f>
        <v/>
      </c>
      <c r="N71" s="17">
        <f>IF(A71="","",COUNTIFS(Landscape!$C$2:$C$601,$D71,Landscape!$B$2:$B$601,"Application to interface"))</f>
        <v/>
      </c>
      <c r="O71" s="17">
        <f>IF(A71="","",COUNTIFS(Landscape!$C$2:$C$601,$D71,Landscape!$B$2:$B$601,"Application to component"))</f>
        <v/>
      </c>
      <c r="P71" s="17">
        <f>IF(A71="","",COUNTIFS(Landscape!$C$2:$C$601,$D71,Landscape!$B$2:$B$601,"Application to market"))</f>
        <v/>
      </c>
      <c r="Q71" s="17">
        <f>IF(A71="","",COUNTIF(Constraints!$B$2:$B$201,$A71))</f>
        <v/>
      </c>
      <c r="R71" s="18">
        <f>IF(A71="","",IF(Q71&gt;Settings!$B$4,"OVER","ok"))</f>
        <v/>
      </c>
    </row>
    <row r="72">
      <c r="A72" s="19" t="n"/>
      <c r="B72" s="19" t="n"/>
      <c r="C72" s="19" t="n"/>
      <c r="D72" s="19" t="n"/>
      <c r="E72" s="19" t="n"/>
      <c r="F72" s="19" t="n"/>
      <c r="G72" s="19" t="n"/>
      <c r="H72" s="19" t="n"/>
      <c r="I72" s="19" t="n"/>
      <c r="J72" s="16">
        <f>IF(OR(C72="",I72=""),0,I72-C72)</f>
        <v/>
      </c>
      <c r="K72" s="13">
        <f>IF(A72="","",IF(J72&lt;=Settings!$B$5,"yes","LATE"))</f>
        <v/>
      </c>
      <c r="L72" s="17">
        <f>IF(A72="","",COUNTIFS(Landscape!$C$2:$C$601,$D72,Landscape!$B$2:$B$601,"Domain to application"))</f>
        <v/>
      </c>
      <c r="M72" s="17">
        <f>IF(A72="","",COUNTIFS(Landscape!$C$2:$C$601,$D72,Landscape!$B$2:$B$601,"Application to object"))</f>
        <v/>
      </c>
      <c r="N72" s="17">
        <f>IF(A72="","",COUNTIFS(Landscape!$C$2:$C$601,$D72,Landscape!$B$2:$B$601,"Application to interface"))</f>
        <v/>
      </c>
      <c r="O72" s="17">
        <f>IF(A72="","",COUNTIFS(Landscape!$C$2:$C$601,$D72,Landscape!$B$2:$B$601,"Application to component"))</f>
        <v/>
      </c>
      <c r="P72" s="17">
        <f>IF(A72="","",COUNTIFS(Landscape!$C$2:$C$601,$D72,Landscape!$B$2:$B$601,"Application to market"))</f>
        <v/>
      </c>
      <c r="Q72" s="17">
        <f>IF(A72="","",COUNTIF(Constraints!$B$2:$B$201,$A72))</f>
        <v/>
      </c>
      <c r="R72" s="18">
        <f>IF(A72="","",IF(Q72&gt;Settings!$B$4,"OVER","ok"))</f>
        <v/>
      </c>
    </row>
    <row r="73">
      <c r="A73" s="19" t="n"/>
      <c r="B73" s="19" t="n"/>
      <c r="C73" s="19" t="n"/>
      <c r="D73" s="19" t="n"/>
      <c r="E73" s="19" t="n"/>
      <c r="F73" s="19" t="n"/>
      <c r="G73" s="19" t="n"/>
      <c r="H73" s="19" t="n"/>
      <c r="I73" s="19" t="n"/>
      <c r="J73" s="16">
        <f>IF(OR(C73="",I73=""),0,I73-C73)</f>
        <v/>
      </c>
      <c r="K73" s="13">
        <f>IF(A73="","",IF(J73&lt;=Settings!$B$5,"yes","LATE"))</f>
        <v/>
      </c>
      <c r="L73" s="17">
        <f>IF(A73="","",COUNTIFS(Landscape!$C$2:$C$601,$D73,Landscape!$B$2:$B$601,"Domain to application"))</f>
        <v/>
      </c>
      <c r="M73" s="17">
        <f>IF(A73="","",COUNTIFS(Landscape!$C$2:$C$601,$D73,Landscape!$B$2:$B$601,"Application to object"))</f>
        <v/>
      </c>
      <c r="N73" s="17">
        <f>IF(A73="","",COUNTIFS(Landscape!$C$2:$C$601,$D73,Landscape!$B$2:$B$601,"Application to interface"))</f>
        <v/>
      </c>
      <c r="O73" s="17">
        <f>IF(A73="","",COUNTIFS(Landscape!$C$2:$C$601,$D73,Landscape!$B$2:$B$601,"Application to component"))</f>
        <v/>
      </c>
      <c r="P73" s="17">
        <f>IF(A73="","",COUNTIFS(Landscape!$C$2:$C$601,$D73,Landscape!$B$2:$B$601,"Application to market"))</f>
        <v/>
      </c>
      <c r="Q73" s="17">
        <f>IF(A73="","",COUNTIF(Constraints!$B$2:$B$201,$A73))</f>
        <v/>
      </c>
      <c r="R73" s="18">
        <f>IF(A73="","",IF(Q73&gt;Settings!$B$4,"OVER","ok"))</f>
        <v/>
      </c>
    </row>
    <row r="74">
      <c r="A74" s="19" t="n"/>
      <c r="B74" s="19" t="n"/>
      <c r="C74" s="19" t="n"/>
      <c r="D74" s="19" t="n"/>
      <c r="E74" s="19" t="n"/>
      <c r="F74" s="19" t="n"/>
      <c r="G74" s="19" t="n"/>
      <c r="H74" s="19" t="n"/>
      <c r="I74" s="19" t="n"/>
      <c r="J74" s="16">
        <f>IF(OR(C74="",I74=""),0,I74-C74)</f>
        <v/>
      </c>
      <c r="K74" s="13">
        <f>IF(A74="","",IF(J74&lt;=Settings!$B$5,"yes","LATE"))</f>
        <v/>
      </c>
      <c r="L74" s="17">
        <f>IF(A74="","",COUNTIFS(Landscape!$C$2:$C$601,$D74,Landscape!$B$2:$B$601,"Domain to application"))</f>
        <v/>
      </c>
      <c r="M74" s="17">
        <f>IF(A74="","",COUNTIFS(Landscape!$C$2:$C$601,$D74,Landscape!$B$2:$B$601,"Application to object"))</f>
        <v/>
      </c>
      <c r="N74" s="17">
        <f>IF(A74="","",COUNTIFS(Landscape!$C$2:$C$601,$D74,Landscape!$B$2:$B$601,"Application to interface"))</f>
        <v/>
      </c>
      <c r="O74" s="17">
        <f>IF(A74="","",COUNTIFS(Landscape!$C$2:$C$601,$D74,Landscape!$B$2:$B$601,"Application to component"))</f>
        <v/>
      </c>
      <c r="P74" s="17">
        <f>IF(A74="","",COUNTIFS(Landscape!$C$2:$C$601,$D74,Landscape!$B$2:$B$601,"Application to market"))</f>
        <v/>
      </c>
      <c r="Q74" s="17">
        <f>IF(A74="","",COUNTIF(Constraints!$B$2:$B$201,$A74))</f>
        <v/>
      </c>
      <c r="R74" s="18">
        <f>IF(A74="","",IF(Q74&gt;Settings!$B$4,"OVER","ok"))</f>
        <v/>
      </c>
    </row>
    <row r="75">
      <c r="A75" s="19" t="n"/>
      <c r="B75" s="19" t="n"/>
      <c r="C75" s="19" t="n"/>
      <c r="D75" s="19" t="n"/>
      <c r="E75" s="19" t="n"/>
      <c r="F75" s="19" t="n"/>
      <c r="G75" s="19" t="n"/>
      <c r="H75" s="19" t="n"/>
      <c r="I75" s="19" t="n"/>
      <c r="J75" s="16">
        <f>IF(OR(C75="",I75=""),0,I75-C75)</f>
        <v/>
      </c>
      <c r="K75" s="13">
        <f>IF(A75="","",IF(J75&lt;=Settings!$B$5,"yes","LATE"))</f>
        <v/>
      </c>
      <c r="L75" s="17">
        <f>IF(A75="","",COUNTIFS(Landscape!$C$2:$C$601,$D75,Landscape!$B$2:$B$601,"Domain to application"))</f>
        <v/>
      </c>
      <c r="M75" s="17">
        <f>IF(A75="","",COUNTIFS(Landscape!$C$2:$C$601,$D75,Landscape!$B$2:$B$601,"Application to object"))</f>
        <v/>
      </c>
      <c r="N75" s="17">
        <f>IF(A75="","",COUNTIFS(Landscape!$C$2:$C$601,$D75,Landscape!$B$2:$B$601,"Application to interface"))</f>
        <v/>
      </c>
      <c r="O75" s="17">
        <f>IF(A75="","",COUNTIFS(Landscape!$C$2:$C$601,$D75,Landscape!$B$2:$B$601,"Application to component"))</f>
        <v/>
      </c>
      <c r="P75" s="17">
        <f>IF(A75="","",COUNTIFS(Landscape!$C$2:$C$601,$D75,Landscape!$B$2:$B$601,"Application to market"))</f>
        <v/>
      </c>
      <c r="Q75" s="17">
        <f>IF(A75="","",COUNTIF(Constraints!$B$2:$B$201,$A75))</f>
        <v/>
      </c>
      <c r="R75" s="18">
        <f>IF(A75="","",IF(Q75&gt;Settings!$B$4,"OVER","ok"))</f>
        <v/>
      </c>
    </row>
    <row r="76">
      <c r="A76" s="19" t="n"/>
      <c r="B76" s="19" t="n"/>
      <c r="C76" s="19" t="n"/>
      <c r="D76" s="19" t="n"/>
      <c r="E76" s="19" t="n"/>
      <c r="F76" s="19" t="n"/>
      <c r="G76" s="19" t="n"/>
      <c r="H76" s="19" t="n"/>
      <c r="I76" s="19" t="n"/>
      <c r="J76" s="16">
        <f>IF(OR(C76="",I76=""),0,I76-C76)</f>
        <v/>
      </c>
      <c r="K76" s="13">
        <f>IF(A76="","",IF(J76&lt;=Settings!$B$5,"yes","LATE"))</f>
        <v/>
      </c>
      <c r="L76" s="17">
        <f>IF(A76="","",COUNTIFS(Landscape!$C$2:$C$601,$D76,Landscape!$B$2:$B$601,"Domain to application"))</f>
        <v/>
      </c>
      <c r="M76" s="17">
        <f>IF(A76="","",COUNTIFS(Landscape!$C$2:$C$601,$D76,Landscape!$B$2:$B$601,"Application to object"))</f>
        <v/>
      </c>
      <c r="N76" s="17">
        <f>IF(A76="","",COUNTIFS(Landscape!$C$2:$C$601,$D76,Landscape!$B$2:$B$601,"Application to interface"))</f>
        <v/>
      </c>
      <c r="O76" s="17">
        <f>IF(A76="","",COUNTIFS(Landscape!$C$2:$C$601,$D76,Landscape!$B$2:$B$601,"Application to component"))</f>
        <v/>
      </c>
      <c r="P76" s="17">
        <f>IF(A76="","",COUNTIFS(Landscape!$C$2:$C$601,$D76,Landscape!$B$2:$B$601,"Application to market"))</f>
        <v/>
      </c>
      <c r="Q76" s="17">
        <f>IF(A76="","",COUNTIF(Constraints!$B$2:$B$201,$A76))</f>
        <v/>
      </c>
      <c r="R76" s="18">
        <f>IF(A76="","",IF(Q76&gt;Settings!$B$4,"OVER","ok"))</f>
        <v/>
      </c>
    </row>
    <row r="77">
      <c r="A77" s="19" t="n"/>
      <c r="B77" s="19" t="n"/>
      <c r="C77" s="19" t="n"/>
      <c r="D77" s="19" t="n"/>
      <c r="E77" s="19" t="n"/>
      <c r="F77" s="19" t="n"/>
      <c r="G77" s="19" t="n"/>
      <c r="H77" s="19" t="n"/>
      <c r="I77" s="19" t="n"/>
      <c r="J77" s="16">
        <f>IF(OR(C77="",I77=""),0,I77-C77)</f>
        <v/>
      </c>
      <c r="K77" s="13">
        <f>IF(A77="","",IF(J77&lt;=Settings!$B$5,"yes","LATE"))</f>
        <v/>
      </c>
      <c r="L77" s="17">
        <f>IF(A77="","",COUNTIFS(Landscape!$C$2:$C$601,$D77,Landscape!$B$2:$B$601,"Domain to application"))</f>
        <v/>
      </c>
      <c r="M77" s="17">
        <f>IF(A77="","",COUNTIFS(Landscape!$C$2:$C$601,$D77,Landscape!$B$2:$B$601,"Application to object"))</f>
        <v/>
      </c>
      <c r="N77" s="17">
        <f>IF(A77="","",COUNTIFS(Landscape!$C$2:$C$601,$D77,Landscape!$B$2:$B$601,"Application to interface"))</f>
        <v/>
      </c>
      <c r="O77" s="17">
        <f>IF(A77="","",COUNTIFS(Landscape!$C$2:$C$601,$D77,Landscape!$B$2:$B$601,"Application to component"))</f>
        <v/>
      </c>
      <c r="P77" s="17">
        <f>IF(A77="","",COUNTIFS(Landscape!$C$2:$C$601,$D77,Landscape!$B$2:$B$601,"Application to market"))</f>
        <v/>
      </c>
      <c r="Q77" s="17">
        <f>IF(A77="","",COUNTIF(Constraints!$B$2:$B$201,$A77))</f>
        <v/>
      </c>
      <c r="R77" s="18">
        <f>IF(A77="","",IF(Q77&gt;Settings!$B$4,"OVER","ok"))</f>
        <v/>
      </c>
    </row>
    <row r="78">
      <c r="A78" s="19" t="n"/>
      <c r="B78" s="19" t="n"/>
      <c r="C78" s="19" t="n"/>
      <c r="D78" s="19" t="n"/>
      <c r="E78" s="19" t="n"/>
      <c r="F78" s="19" t="n"/>
      <c r="G78" s="19" t="n"/>
      <c r="H78" s="19" t="n"/>
      <c r="I78" s="19" t="n"/>
      <c r="J78" s="16">
        <f>IF(OR(C78="",I78=""),0,I78-C78)</f>
        <v/>
      </c>
      <c r="K78" s="13">
        <f>IF(A78="","",IF(J78&lt;=Settings!$B$5,"yes","LATE"))</f>
        <v/>
      </c>
      <c r="L78" s="17">
        <f>IF(A78="","",COUNTIFS(Landscape!$C$2:$C$601,$D78,Landscape!$B$2:$B$601,"Domain to application"))</f>
        <v/>
      </c>
      <c r="M78" s="17">
        <f>IF(A78="","",COUNTIFS(Landscape!$C$2:$C$601,$D78,Landscape!$B$2:$B$601,"Application to object"))</f>
        <v/>
      </c>
      <c r="N78" s="17">
        <f>IF(A78="","",COUNTIFS(Landscape!$C$2:$C$601,$D78,Landscape!$B$2:$B$601,"Application to interface"))</f>
        <v/>
      </c>
      <c r="O78" s="17">
        <f>IF(A78="","",COUNTIFS(Landscape!$C$2:$C$601,$D78,Landscape!$B$2:$B$601,"Application to component"))</f>
        <v/>
      </c>
      <c r="P78" s="17">
        <f>IF(A78="","",COUNTIFS(Landscape!$C$2:$C$601,$D78,Landscape!$B$2:$B$601,"Application to market"))</f>
        <v/>
      </c>
      <c r="Q78" s="17">
        <f>IF(A78="","",COUNTIF(Constraints!$B$2:$B$201,$A78))</f>
        <v/>
      </c>
      <c r="R78" s="18">
        <f>IF(A78="","",IF(Q78&gt;Settings!$B$4,"OVER","ok"))</f>
        <v/>
      </c>
    </row>
    <row r="79">
      <c r="A79" s="19" t="n"/>
      <c r="B79" s="19" t="n"/>
      <c r="C79" s="19" t="n"/>
      <c r="D79" s="19" t="n"/>
      <c r="E79" s="19" t="n"/>
      <c r="F79" s="19" t="n"/>
      <c r="G79" s="19" t="n"/>
      <c r="H79" s="19" t="n"/>
      <c r="I79" s="19" t="n"/>
      <c r="J79" s="16">
        <f>IF(OR(C79="",I79=""),0,I79-C79)</f>
        <v/>
      </c>
      <c r="K79" s="13">
        <f>IF(A79="","",IF(J79&lt;=Settings!$B$5,"yes","LATE"))</f>
        <v/>
      </c>
      <c r="L79" s="17">
        <f>IF(A79="","",COUNTIFS(Landscape!$C$2:$C$601,$D79,Landscape!$B$2:$B$601,"Domain to application"))</f>
        <v/>
      </c>
      <c r="M79" s="17">
        <f>IF(A79="","",COUNTIFS(Landscape!$C$2:$C$601,$D79,Landscape!$B$2:$B$601,"Application to object"))</f>
        <v/>
      </c>
      <c r="N79" s="17">
        <f>IF(A79="","",COUNTIFS(Landscape!$C$2:$C$601,$D79,Landscape!$B$2:$B$601,"Application to interface"))</f>
        <v/>
      </c>
      <c r="O79" s="17">
        <f>IF(A79="","",COUNTIFS(Landscape!$C$2:$C$601,$D79,Landscape!$B$2:$B$601,"Application to component"))</f>
        <v/>
      </c>
      <c r="P79" s="17">
        <f>IF(A79="","",COUNTIFS(Landscape!$C$2:$C$601,$D79,Landscape!$B$2:$B$601,"Application to market"))</f>
        <v/>
      </c>
      <c r="Q79" s="17">
        <f>IF(A79="","",COUNTIF(Constraints!$B$2:$B$201,$A79))</f>
        <v/>
      </c>
      <c r="R79" s="18">
        <f>IF(A79="","",IF(Q79&gt;Settings!$B$4,"OVER","ok"))</f>
        <v/>
      </c>
    </row>
    <row r="80">
      <c r="A80" s="19" t="n"/>
      <c r="B80" s="19" t="n"/>
      <c r="C80" s="19" t="n"/>
      <c r="D80" s="19" t="n"/>
      <c r="E80" s="19" t="n"/>
      <c r="F80" s="19" t="n"/>
      <c r="G80" s="19" t="n"/>
      <c r="H80" s="19" t="n"/>
      <c r="I80" s="19" t="n"/>
      <c r="J80" s="16">
        <f>IF(OR(C80="",I80=""),0,I80-C80)</f>
        <v/>
      </c>
      <c r="K80" s="13">
        <f>IF(A80="","",IF(J80&lt;=Settings!$B$5,"yes","LATE"))</f>
        <v/>
      </c>
      <c r="L80" s="17">
        <f>IF(A80="","",COUNTIFS(Landscape!$C$2:$C$601,$D80,Landscape!$B$2:$B$601,"Domain to application"))</f>
        <v/>
      </c>
      <c r="M80" s="17">
        <f>IF(A80="","",COUNTIFS(Landscape!$C$2:$C$601,$D80,Landscape!$B$2:$B$601,"Application to object"))</f>
        <v/>
      </c>
      <c r="N80" s="17">
        <f>IF(A80="","",COUNTIFS(Landscape!$C$2:$C$601,$D80,Landscape!$B$2:$B$601,"Application to interface"))</f>
        <v/>
      </c>
      <c r="O80" s="17">
        <f>IF(A80="","",COUNTIFS(Landscape!$C$2:$C$601,$D80,Landscape!$B$2:$B$601,"Application to component"))</f>
        <v/>
      </c>
      <c r="P80" s="17">
        <f>IF(A80="","",COUNTIFS(Landscape!$C$2:$C$601,$D80,Landscape!$B$2:$B$601,"Application to market"))</f>
        <v/>
      </c>
      <c r="Q80" s="17">
        <f>IF(A80="","",COUNTIF(Constraints!$B$2:$B$201,$A80))</f>
        <v/>
      </c>
      <c r="R80" s="18">
        <f>IF(A80="","",IF(Q80&gt;Settings!$B$4,"OVER","ok"))</f>
        <v/>
      </c>
    </row>
    <row r="81">
      <c r="A81" s="19" t="n"/>
      <c r="B81" s="19" t="n"/>
      <c r="C81" s="19" t="n"/>
      <c r="D81" s="19" t="n"/>
      <c r="E81" s="19" t="n"/>
      <c r="F81" s="19" t="n"/>
      <c r="G81" s="19" t="n"/>
      <c r="H81" s="19" t="n"/>
      <c r="I81" s="19" t="n"/>
      <c r="J81" s="16">
        <f>IF(OR(C81="",I81=""),0,I81-C81)</f>
        <v/>
      </c>
      <c r="K81" s="13">
        <f>IF(A81="","",IF(J81&lt;=Settings!$B$5,"yes","LATE"))</f>
        <v/>
      </c>
      <c r="L81" s="17">
        <f>IF(A81="","",COUNTIFS(Landscape!$C$2:$C$601,$D81,Landscape!$B$2:$B$601,"Domain to application"))</f>
        <v/>
      </c>
      <c r="M81" s="17">
        <f>IF(A81="","",COUNTIFS(Landscape!$C$2:$C$601,$D81,Landscape!$B$2:$B$601,"Application to object"))</f>
        <v/>
      </c>
      <c r="N81" s="17">
        <f>IF(A81="","",COUNTIFS(Landscape!$C$2:$C$601,$D81,Landscape!$B$2:$B$601,"Application to interface"))</f>
        <v/>
      </c>
      <c r="O81" s="17">
        <f>IF(A81="","",COUNTIFS(Landscape!$C$2:$C$601,$D81,Landscape!$B$2:$B$601,"Application to component"))</f>
        <v/>
      </c>
      <c r="P81" s="17">
        <f>IF(A81="","",COUNTIFS(Landscape!$C$2:$C$601,$D81,Landscape!$B$2:$B$601,"Application to market"))</f>
        <v/>
      </c>
      <c r="Q81" s="17">
        <f>IF(A81="","",COUNTIF(Constraints!$B$2:$B$201,$A81))</f>
        <v/>
      </c>
      <c r="R81" s="18">
        <f>IF(A81="","",IF(Q81&gt;Settings!$B$4,"OVER","ok"))</f>
        <v/>
      </c>
    </row>
    <row r="82">
      <c r="A82" s="19" t="n"/>
      <c r="B82" s="19" t="n"/>
      <c r="C82" s="19" t="n"/>
      <c r="D82" s="19" t="n"/>
      <c r="E82" s="19" t="n"/>
      <c r="F82" s="19" t="n"/>
      <c r="G82" s="19" t="n"/>
      <c r="H82" s="19" t="n"/>
      <c r="I82" s="19" t="n"/>
      <c r="J82" s="16">
        <f>IF(OR(C82="",I82=""),0,I82-C82)</f>
        <v/>
      </c>
      <c r="K82" s="13">
        <f>IF(A82="","",IF(J82&lt;=Settings!$B$5,"yes","LATE"))</f>
        <v/>
      </c>
      <c r="L82" s="17">
        <f>IF(A82="","",COUNTIFS(Landscape!$C$2:$C$601,$D82,Landscape!$B$2:$B$601,"Domain to application"))</f>
        <v/>
      </c>
      <c r="M82" s="17">
        <f>IF(A82="","",COUNTIFS(Landscape!$C$2:$C$601,$D82,Landscape!$B$2:$B$601,"Application to object"))</f>
        <v/>
      </c>
      <c r="N82" s="17">
        <f>IF(A82="","",COUNTIFS(Landscape!$C$2:$C$601,$D82,Landscape!$B$2:$B$601,"Application to interface"))</f>
        <v/>
      </c>
      <c r="O82" s="17">
        <f>IF(A82="","",COUNTIFS(Landscape!$C$2:$C$601,$D82,Landscape!$B$2:$B$601,"Application to component"))</f>
        <v/>
      </c>
      <c r="P82" s="17">
        <f>IF(A82="","",COUNTIFS(Landscape!$C$2:$C$601,$D82,Landscape!$B$2:$B$601,"Application to market"))</f>
        <v/>
      </c>
      <c r="Q82" s="17">
        <f>IF(A82="","",COUNTIF(Constraints!$B$2:$B$201,$A82))</f>
        <v/>
      </c>
      <c r="R82" s="18">
        <f>IF(A82="","",IF(Q82&gt;Settings!$B$4,"OVER","ok"))</f>
        <v/>
      </c>
    </row>
    <row r="83">
      <c r="A83" s="19" t="n"/>
      <c r="B83" s="19" t="n"/>
      <c r="C83" s="19" t="n"/>
      <c r="D83" s="19" t="n"/>
      <c r="E83" s="19" t="n"/>
      <c r="F83" s="19" t="n"/>
      <c r="G83" s="19" t="n"/>
      <c r="H83" s="19" t="n"/>
      <c r="I83" s="19" t="n"/>
      <c r="J83" s="16">
        <f>IF(OR(C83="",I83=""),0,I83-C83)</f>
        <v/>
      </c>
      <c r="K83" s="13">
        <f>IF(A83="","",IF(J83&lt;=Settings!$B$5,"yes","LATE"))</f>
        <v/>
      </c>
      <c r="L83" s="17">
        <f>IF(A83="","",COUNTIFS(Landscape!$C$2:$C$601,$D83,Landscape!$B$2:$B$601,"Domain to application"))</f>
        <v/>
      </c>
      <c r="M83" s="17">
        <f>IF(A83="","",COUNTIFS(Landscape!$C$2:$C$601,$D83,Landscape!$B$2:$B$601,"Application to object"))</f>
        <v/>
      </c>
      <c r="N83" s="17">
        <f>IF(A83="","",COUNTIFS(Landscape!$C$2:$C$601,$D83,Landscape!$B$2:$B$601,"Application to interface"))</f>
        <v/>
      </c>
      <c r="O83" s="17">
        <f>IF(A83="","",COUNTIFS(Landscape!$C$2:$C$601,$D83,Landscape!$B$2:$B$601,"Application to component"))</f>
        <v/>
      </c>
      <c r="P83" s="17">
        <f>IF(A83="","",COUNTIFS(Landscape!$C$2:$C$601,$D83,Landscape!$B$2:$B$601,"Application to market"))</f>
        <v/>
      </c>
      <c r="Q83" s="17">
        <f>IF(A83="","",COUNTIF(Constraints!$B$2:$B$201,$A83))</f>
        <v/>
      </c>
      <c r="R83" s="18">
        <f>IF(A83="","",IF(Q83&gt;Settings!$B$4,"OVER","ok"))</f>
        <v/>
      </c>
    </row>
    <row r="84">
      <c r="A84" s="19" t="n"/>
      <c r="B84" s="19" t="n"/>
      <c r="C84" s="19" t="n"/>
      <c r="D84" s="19" t="n"/>
      <c r="E84" s="19" t="n"/>
      <c r="F84" s="19" t="n"/>
      <c r="G84" s="19" t="n"/>
      <c r="H84" s="19" t="n"/>
      <c r="I84" s="19" t="n"/>
      <c r="J84" s="16">
        <f>IF(OR(C84="",I84=""),0,I84-C84)</f>
        <v/>
      </c>
      <c r="K84" s="13">
        <f>IF(A84="","",IF(J84&lt;=Settings!$B$5,"yes","LATE"))</f>
        <v/>
      </c>
      <c r="L84" s="17">
        <f>IF(A84="","",COUNTIFS(Landscape!$C$2:$C$601,$D84,Landscape!$B$2:$B$601,"Domain to application"))</f>
        <v/>
      </c>
      <c r="M84" s="17">
        <f>IF(A84="","",COUNTIFS(Landscape!$C$2:$C$601,$D84,Landscape!$B$2:$B$601,"Application to object"))</f>
        <v/>
      </c>
      <c r="N84" s="17">
        <f>IF(A84="","",COUNTIFS(Landscape!$C$2:$C$601,$D84,Landscape!$B$2:$B$601,"Application to interface"))</f>
        <v/>
      </c>
      <c r="O84" s="17">
        <f>IF(A84="","",COUNTIFS(Landscape!$C$2:$C$601,$D84,Landscape!$B$2:$B$601,"Application to component"))</f>
        <v/>
      </c>
      <c r="P84" s="17">
        <f>IF(A84="","",COUNTIFS(Landscape!$C$2:$C$601,$D84,Landscape!$B$2:$B$601,"Application to market"))</f>
        <v/>
      </c>
      <c r="Q84" s="17">
        <f>IF(A84="","",COUNTIF(Constraints!$B$2:$B$201,$A84))</f>
        <v/>
      </c>
      <c r="R84" s="18">
        <f>IF(A84="","",IF(Q84&gt;Settings!$B$4,"OVER","ok"))</f>
        <v/>
      </c>
    </row>
    <row r="85">
      <c r="A85" s="19" t="n"/>
      <c r="B85" s="19" t="n"/>
      <c r="C85" s="19" t="n"/>
      <c r="D85" s="19" t="n"/>
      <c r="E85" s="19" t="n"/>
      <c r="F85" s="19" t="n"/>
      <c r="G85" s="19" t="n"/>
      <c r="H85" s="19" t="n"/>
      <c r="I85" s="19" t="n"/>
      <c r="J85" s="16">
        <f>IF(OR(C85="",I85=""),0,I85-C85)</f>
        <v/>
      </c>
      <c r="K85" s="13">
        <f>IF(A85="","",IF(J85&lt;=Settings!$B$5,"yes","LATE"))</f>
        <v/>
      </c>
      <c r="L85" s="17">
        <f>IF(A85="","",COUNTIFS(Landscape!$C$2:$C$601,$D85,Landscape!$B$2:$B$601,"Domain to application"))</f>
        <v/>
      </c>
      <c r="M85" s="17">
        <f>IF(A85="","",COUNTIFS(Landscape!$C$2:$C$601,$D85,Landscape!$B$2:$B$601,"Application to object"))</f>
        <v/>
      </c>
      <c r="N85" s="17">
        <f>IF(A85="","",COUNTIFS(Landscape!$C$2:$C$601,$D85,Landscape!$B$2:$B$601,"Application to interface"))</f>
        <v/>
      </c>
      <c r="O85" s="17">
        <f>IF(A85="","",COUNTIFS(Landscape!$C$2:$C$601,$D85,Landscape!$B$2:$B$601,"Application to component"))</f>
        <v/>
      </c>
      <c r="P85" s="17">
        <f>IF(A85="","",COUNTIFS(Landscape!$C$2:$C$601,$D85,Landscape!$B$2:$B$601,"Application to market"))</f>
        <v/>
      </c>
      <c r="Q85" s="17">
        <f>IF(A85="","",COUNTIF(Constraints!$B$2:$B$201,$A85))</f>
        <v/>
      </c>
      <c r="R85" s="18">
        <f>IF(A85="","",IF(Q85&gt;Settings!$B$4,"OVER","ok"))</f>
        <v/>
      </c>
    </row>
    <row r="86">
      <c r="A86" s="19" t="n"/>
      <c r="B86" s="19" t="n"/>
      <c r="C86" s="19" t="n"/>
      <c r="D86" s="19" t="n"/>
      <c r="E86" s="19" t="n"/>
      <c r="F86" s="19" t="n"/>
      <c r="G86" s="19" t="n"/>
      <c r="H86" s="19" t="n"/>
      <c r="I86" s="19" t="n"/>
      <c r="J86" s="16">
        <f>IF(OR(C86="",I86=""),0,I86-C86)</f>
        <v/>
      </c>
      <c r="K86" s="13">
        <f>IF(A86="","",IF(J86&lt;=Settings!$B$5,"yes","LATE"))</f>
        <v/>
      </c>
      <c r="L86" s="17">
        <f>IF(A86="","",COUNTIFS(Landscape!$C$2:$C$601,$D86,Landscape!$B$2:$B$601,"Domain to application"))</f>
        <v/>
      </c>
      <c r="M86" s="17">
        <f>IF(A86="","",COUNTIFS(Landscape!$C$2:$C$601,$D86,Landscape!$B$2:$B$601,"Application to object"))</f>
        <v/>
      </c>
      <c r="N86" s="17">
        <f>IF(A86="","",COUNTIFS(Landscape!$C$2:$C$601,$D86,Landscape!$B$2:$B$601,"Application to interface"))</f>
        <v/>
      </c>
      <c r="O86" s="17">
        <f>IF(A86="","",COUNTIFS(Landscape!$C$2:$C$601,$D86,Landscape!$B$2:$B$601,"Application to component"))</f>
        <v/>
      </c>
      <c r="P86" s="17">
        <f>IF(A86="","",COUNTIFS(Landscape!$C$2:$C$601,$D86,Landscape!$B$2:$B$601,"Application to market"))</f>
        <v/>
      </c>
      <c r="Q86" s="17">
        <f>IF(A86="","",COUNTIF(Constraints!$B$2:$B$201,$A86))</f>
        <v/>
      </c>
      <c r="R86" s="18">
        <f>IF(A86="","",IF(Q86&gt;Settings!$B$4,"OVER","ok"))</f>
        <v/>
      </c>
    </row>
    <row r="87">
      <c r="A87" s="19" t="n"/>
      <c r="B87" s="19" t="n"/>
      <c r="C87" s="19" t="n"/>
      <c r="D87" s="19" t="n"/>
      <c r="E87" s="19" t="n"/>
      <c r="F87" s="19" t="n"/>
      <c r="G87" s="19" t="n"/>
      <c r="H87" s="19" t="n"/>
      <c r="I87" s="19" t="n"/>
      <c r="J87" s="16">
        <f>IF(OR(C87="",I87=""),0,I87-C87)</f>
        <v/>
      </c>
      <c r="K87" s="13">
        <f>IF(A87="","",IF(J87&lt;=Settings!$B$5,"yes","LATE"))</f>
        <v/>
      </c>
      <c r="L87" s="17">
        <f>IF(A87="","",COUNTIFS(Landscape!$C$2:$C$601,$D87,Landscape!$B$2:$B$601,"Domain to application"))</f>
        <v/>
      </c>
      <c r="M87" s="17">
        <f>IF(A87="","",COUNTIFS(Landscape!$C$2:$C$601,$D87,Landscape!$B$2:$B$601,"Application to object"))</f>
        <v/>
      </c>
      <c r="N87" s="17">
        <f>IF(A87="","",COUNTIFS(Landscape!$C$2:$C$601,$D87,Landscape!$B$2:$B$601,"Application to interface"))</f>
        <v/>
      </c>
      <c r="O87" s="17">
        <f>IF(A87="","",COUNTIFS(Landscape!$C$2:$C$601,$D87,Landscape!$B$2:$B$601,"Application to component"))</f>
        <v/>
      </c>
      <c r="P87" s="17">
        <f>IF(A87="","",COUNTIFS(Landscape!$C$2:$C$601,$D87,Landscape!$B$2:$B$601,"Application to market"))</f>
        <v/>
      </c>
      <c r="Q87" s="17">
        <f>IF(A87="","",COUNTIF(Constraints!$B$2:$B$201,$A87))</f>
        <v/>
      </c>
      <c r="R87" s="18">
        <f>IF(A87="","",IF(Q87&gt;Settings!$B$4,"OVER","ok"))</f>
        <v/>
      </c>
    </row>
    <row r="88">
      <c r="A88" s="19" t="n"/>
      <c r="B88" s="19" t="n"/>
      <c r="C88" s="19" t="n"/>
      <c r="D88" s="19" t="n"/>
      <c r="E88" s="19" t="n"/>
      <c r="F88" s="19" t="n"/>
      <c r="G88" s="19" t="n"/>
      <c r="H88" s="19" t="n"/>
      <c r="I88" s="19" t="n"/>
      <c r="J88" s="16">
        <f>IF(OR(C88="",I88=""),0,I88-C88)</f>
        <v/>
      </c>
      <c r="K88" s="13">
        <f>IF(A88="","",IF(J88&lt;=Settings!$B$5,"yes","LATE"))</f>
        <v/>
      </c>
      <c r="L88" s="17">
        <f>IF(A88="","",COUNTIFS(Landscape!$C$2:$C$601,$D88,Landscape!$B$2:$B$601,"Domain to application"))</f>
        <v/>
      </c>
      <c r="M88" s="17">
        <f>IF(A88="","",COUNTIFS(Landscape!$C$2:$C$601,$D88,Landscape!$B$2:$B$601,"Application to object"))</f>
        <v/>
      </c>
      <c r="N88" s="17">
        <f>IF(A88="","",COUNTIFS(Landscape!$C$2:$C$601,$D88,Landscape!$B$2:$B$601,"Application to interface"))</f>
        <v/>
      </c>
      <c r="O88" s="17">
        <f>IF(A88="","",COUNTIFS(Landscape!$C$2:$C$601,$D88,Landscape!$B$2:$B$601,"Application to component"))</f>
        <v/>
      </c>
      <c r="P88" s="17">
        <f>IF(A88="","",COUNTIFS(Landscape!$C$2:$C$601,$D88,Landscape!$B$2:$B$601,"Application to market"))</f>
        <v/>
      </c>
      <c r="Q88" s="17">
        <f>IF(A88="","",COUNTIF(Constraints!$B$2:$B$201,$A88))</f>
        <v/>
      </c>
      <c r="R88" s="18">
        <f>IF(A88="","",IF(Q88&gt;Settings!$B$4,"OVER","ok"))</f>
        <v/>
      </c>
    </row>
    <row r="89">
      <c r="A89" s="19" t="n"/>
      <c r="B89" s="19" t="n"/>
      <c r="C89" s="19" t="n"/>
      <c r="D89" s="19" t="n"/>
      <c r="E89" s="19" t="n"/>
      <c r="F89" s="19" t="n"/>
      <c r="G89" s="19" t="n"/>
      <c r="H89" s="19" t="n"/>
      <c r="I89" s="19" t="n"/>
      <c r="J89" s="16">
        <f>IF(OR(C89="",I89=""),0,I89-C89)</f>
        <v/>
      </c>
      <c r="K89" s="13">
        <f>IF(A89="","",IF(J89&lt;=Settings!$B$5,"yes","LATE"))</f>
        <v/>
      </c>
      <c r="L89" s="17">
        <f>IF(A89="","",COUNTIFS(Landscape!$C$2:$C$601,$D89,Landscape!$B$2:$B$601,"Domain to application"))</f>
        <v/>
      </c>
      <c r="M89" s="17">
        <f>IF(A89="","",COUNTIFS(Landscape!$C$2:$C$601,$D89,Landscape!$B$2:$B$601,"Application to object"))</f>
        <v/>
      </c>
      <c r="N89" s="17">
        <f>IF(A89="","",COUNTIFS(Landscape!$C$2:$C$601,$D89,Landscape!$B$2:$B$601,"Application to interface"))</f>
        <v/>
      </c>
      <c r="O89" s="17">
        <f>IF(A89="","",COUNTIFS(Landscape!$C$2:$C$601,$D89,Landscape!$B$2:$B$601,"Application to component"))</f>
        <v/>
      </c>
      <c r="P89" s="17">
        <f>IF(A89="","",COUNTIFS(Landscape!$C$2:$C$601,$D89,Landscape!$B$2:$B$601,"Application to market"))</f>
        <v/>
      </c>
      <c r="Q89" s="17">
        <f>IF(A89="","",COUNTIF(Constraints!$B$2:$B$201,$A89))</f>
        <v/>
      </c>
      <c r="R89" s="18">
        <f>IF(A89="","",IF(Q89&gt;Settings!$B$4,"OVER","ok"))</f>
        <v/>
      </c>
    </row>
    <row r="90">
      <c r="A90" s="19" t="n"/>
      <c r="B90" s="19" t="n"/>
      <c r="C90" s="19" t="n"/>
      <c r="D90" s="19" t="n"/>
      <c r="E90" s="19" t="n"/>
      <c r="F90" s="19" t="n"/>
      <c r="G90" s="19" t="n"/>
      <c r="H90" s="19" t="n"/>
      <c r="I90" s="19" t="n"/>
      <c r="J90" s="16">
        <f>IF(OR(C90="",I90=""),0,I90-C90)</f>
        <v/>
      </c>
      <c r="K90" s="13">
        <f>IF(A90="","",IF(J90&lt;=Settings!$B$5,"yes","LATE"))</f>
        <v/>
      </c>
      <c r="L90" s="17">
        <f>IF(A90="","",COUNTIFS(Landscape!$C$2:$C$601,$D90,Landscape!$B$2:$B$601,"Domain to application"))</f>
        <v/>
      </c>
      <c r="M90" s="17">
        <f>IF(A90="","",COUNTIFS(Landscape!$C$2:$C$601,$D90,Landscape!$B$2:$B$601,"Application to object"))</f>
        <v/>
      </c>
      <c r="N90" s="17">
        <f>IF(A90="","",COUNTIFS(Landscape!$C$2:$C$601,$D90,Landscape!$B$2:$B$601,"Application to interface"))</f>
        <v/>
      </c>
      <c r="O90" s="17">
        <f>IF(A90="","",COUNTIFS(Landscape!$C$2:$C$601,$D90,Landscape!$B$2:$B$601,"Application to component"))</f>
        <v/>
      </c>
      <c r="P90" s="17">
        <f>IF(A90="","",COUNTIFS(Landscape!$C$2:$C$601,$D90,Landscape!$B$2:$B$601,"Application to market"))</f>
        <v/>
      </c>
      <c r="Q90" s="17">
        <f>IF(A90="","",COUNTIF(Constraints!$B$2:$B$201,$A90))</f>
        <v/>
      </c>
      <c r="R90" s="18">
        <f>IF(A90="","",IF(Q90&gt;Settings!$B$4,"OVER","ok"))</f>
        <v/>
      </c>
    </row>
    <row r="91">
      <c r="A91" s="19" t="n"/>
      <c r="B91" s="19" t="n"/>
      <c r="C91" s="19" t="n"/>
      <c r="D91" s="19" t="n"/>
      <c r="E91" s="19" t="n"/>
      <c r="F91" s="19" t="n"/>
      <c r="G91" s="19" t="n"/>
      <c r="H91" s="19" t="n"/>
      <c r="I91" s="19" t="n"/>
      <c r="J91" s="16">
        <f>IF(OR(C91="",I91=""),0,I91-C91)</f>
        <v/>
      </c>
      <c r="K91" s="13">
        <f>IF(A91="","",IF(J91&lt;=Settings!$B$5,"yes","LATE"))</f>
        <v/>
      </c>
      <c r="L91" s="17">
        <f>IF(A91="","",COUNTIFS(Landscape!$C$2:$C$601,$D91,Landscape!$B$2:$B$601,"Domain to application"))</f>
        <v/>
      </c>
      <c r="M91" s="17">
        <f>IF(A91="","",COUNTIFS(Landscape!$C$2:$C$601,$D91,Landscape!$B$2:$B$601,"Application to object"))</f>
        <v/>
      </c>
      <c r="N91" s="17">
        <f>IF(A91="","",COUNTIFS(Landscape!$C$2:$C$601,$D91,Landscape!$B$2:$B$601,"Application to interface"))</f>
        <v/>
      </c>
      <c r="O91" s="17">
        <f>IF(A91="","",COUNTIFS(Landscape!$C$2:$C$601,$D91,Landscape!$B$2:$B$601,"Application to component"))</f>
        <v/>
      </c>
      <c r="P91" s="17">
        <f>IF(A91="","",COUNTIFS(Landscape!$C$2:$C$601,$D91,Landscape!$B$2:$B$601,"Application to market"))</f>
        <v/>
      </c>
      <c r="Q91" s="17">
        <f>IF(A91="","",COUNTIF(Constraints!$B$2:$B$201,$A91))</f>
        <v/>
      </c>
      <c r="R91" s="18">
        <f>IF(A91="","",IF(Q91&gt;Settings!$B$4,"OVER","ok"))</f>
        <v/>
      </c>
    </row>
    <row r="92">
      <c r="A92" s="19" t="n"/>
      <c r="B92" s="19" t="n"/>
      <c r="C92" s="19" t="n"/>
      <c r="D92" s="19" t="n"/>
      <c r="E92" s="19" t="n"/>
      <c r="F92" s="19" t="n"/>
      <c r="G92" s="19" t="n"/>
      <c r="H92" s="19" t="n"/>
      <c r="I92" s="19" t="n"/>
      <c r="J92" s="16">
        <f>IF(OR(C92="",I92=""),0,I92-C92)</f>
        <v/>
      </c>
      <c r="K92" s="13">
        <f>IF(A92="","",IF(J92&lt;=Settings!$B$5,"yes","LATE"))</f>
        <v/>
      </c>
      <c r="L92" s="17">
        <f>IF(A92="","",COUNTIFS(Landscape!$C$2:$C$601,$D92,Landscape!$B$2:$B$601,"Domain to application"))</f>
        <v/>
      </c>
      <c r="M92" s="17">
        <f>IF(A92="","",COUNTIFS(Landscape!$C$2:$C$601,$D92,Landscape!$B$2:$B$601,"Application to object"))</f>
        <v/>
      </c>
      <c r="N92" s="17">
        <f>IF(A92="","",COUNTIFS(Landscape!$C$2:$C$601,$D92,Landscape!$B$2:$B$601,"Application to interface"))</f>
        <v/>
      </c>
      <c r="O92" s="17">
        <f>IF(A92="","",COUNTIFS(Landscape!$C$2:$C$601,$D92,Landscape!$B$2:$B$601,"Application to component"))</f>
        <v/>
      </c>
      <c r="P92" s="17">
        <f>IF(A92="","",COUNTIFS(Landscape!$C$2:$C$601,$D92,Landscape!$B$2:$B$601,"Application to market"))</f>
        <v/>
      </c>
      <c r="Q92" s="17">
        <f>IF(A92="","",COUNTIF(Constraints!$B$2:$B$201,$A92))</f>
        <v/>
      </c>
      <c r="R92" s="18">
        <f>IF(A92="","",IF(Q92&gt;Settings!$B$4,"OVER","ok"))</f>
        <v/>
      </c>
    </row>
    <row r="93">
      <c r="A93" s="19" t="n"/>
      <c r="B93" s="19" t="n"/>
      <c r="C93" s="19" t="n"/>
      <c r="D93" s="19" t="n"/>
      <c r="E93" s="19" t="n"/>
      <c r="F93" s="19" t="n"/>
      <c r="G93" s="19" t="n"/>
      <c r="H93" s="19" t="n"/>
      <c r="I93" s="19" t="n"/>
      <c r="J93" s="16">
        <f>IF(OR(C93="",I93=""),0,I93-C93)</f>
        <v/>
      </c>
      <c r="K93" s="13">
        <f>IF(A93="","",IF(J93&lt;=Settings!$B$5,"yes","LATE"))</f>
        <v/>
      </c>
      <c r="L93" s="17">
        <f>IF(A93="","",COUNTIFS(Landscape!$C$2:$C$601,$D93,Landscape!$B$2:$B$601,"Domain to application"))</f>
        <v/>
      </c>
      <c r="M93" s="17">
        <f>IF(A93="","",COUNTIFS(Landscape!$C$2:$C$601,$D93,Landscape!$B$2:$B$601,"Application to object"))</f>
        <v/>
      </c>
      <c r="N93" s="17">
        <f>IF(A93="","",COUNTIFS(Landscape!$C$2:$C$601,$D93,Landscape!$B$2:$B$601,"Application to interface"))</f>
        <v/>
      </c>
      <c r="O93" s="17">
        <f>IF(A93="","",COUNTIFS(Landscape!$C$2:$C$601,$D93,Landscape!$B$2:$B$601,"Application to component"))</f>
        <v/>
      </c>
      <c r="P93" s="17">
        <f>IF(A93="","",COUNTIFS(Landscape!$C$2:$C$601,$D93,Landscape!$B$2:$B$601,"Application to market"))</f>
        <v/>
      </c>
      <c r="Q93" s="17">
        <f>IF(A93="","",COUNTIF(Constraints!$B$2:$B$201,$A93))</f>
        <v/>
      </c>
      <c r="R93" s="18">
        <f>IF(A93="","",IF(Q93&gt;Settings!$B$4,"OVER","ok"))</f>
        <v/>
      </c>
    </row>
    <row r="94">
      <c r="A94" s="19" t="n"/>
      <c r="B94" s="19" t="n"/>
      <c r="C94" s="19" t="n"/>
      <c r="D94" s="19" t="n"/>
      <c r="E94" s="19" t="n"/>
      <c r="F94" s="19" t="n"/>
      <c r="G94" s="19" t="n"/>
      <c r="H94" s="19" t="n"/>
      <c r="I94" s="19" t="n"/>
      <c r="J94" s="16">
        <f>IF(OR(C94="",I94=""),0,I94-C94)</f>
        <v/>
      </c>
      <c r="K94" s="13">
        <f>IF(A94="","",IF(J94&lt;=Settings!$B$5,"yes","LATE"))</f>
        <v/>
      </c>
      <c r="L94" s="17">
        <f>IF(A94="","",COUNTIFS(Landscape!$C$2:$C$601,$D94,Landscape!$B$2:$B$601,"Domain to application"))</f>
        <v/>
      </c>
      <c r="M94" s="17">
        <f>IF(A94="","",COUNTIFS(Landscape!$C$2:$C$601,$D94,Landscape!$B$2:$B$601,"Application to object"))</f>
        <v/>
      </c>
      <c r="N94" s="17">
        <f>IF(A94="","",COUNTIFS(Landscape!$C$2:$C$601,$D94,Landscape!$B$2:$B$601,"Application to interface"))</f>
        <v/>
      </c>
      <c r="O94" s="17">
        <f>IF(A94="","",COUNTIFS(Landscape!$C$2:$C$601,$D94,Landscape!$B$2:$B$601,"Application to component"))</f>
        <v/>
      </c>
      <c r="P94" s="17">
        <f>IF(A94="","",COUNTIFS(Landscape!$C$2:$C$601,$D94,Landscape!$B$2:$B$601,"Application to market"))</f>
        <v/>
      </c>
      <c r="Q94" s="17">
        <f>IF(A94="","",COUNTIF(Constraints!$B$2:$B$201,$A94))</f>
        <v/>
      </c>
      <c r="R94" s="18">
        <f>IF(A94="","",IF(Q94&gt;Settings!$B$4,"OVER","ok"))</f>
        <v/>
      </c>
    </row>
    <row r="95">
      <c r="A95" s="19" t="n"/>
      <c r="B95" s="19" t="n"/>
      <c r="C95" s="19" t="n"/>
      <c r="D95" s="19" t="n"/>
      <c r="E95" s="19" t="n"/>
      <c r="F95" s="19" t="n"/>
      <c r="G95" s="19" t="n"/>
      <c r="H95" s="19" t="n"/>
      <c r="I95" s="19" t="n"/>
      <c r="J95" s="16">
        <f>IF(OR(C95="",I95=""),0,I95-C95)</f>
        <v/>
      </c>
      <c r="K95" s="13">
        <f>IF(A95="","",IF(J95&lt;=Settings!$B$5,"yes","LATE"))</f>
        <v/>
      </c>
      <c r="L95" s="17">
        <f>IF(A95="","",COUNTIFS(Landscape!$C$2:$C$601,$D95,Landscape!$B$2:$B$601,"Domain to application"))</f>
        <v/>
      </c>
      <c r="M95" s="17">
        <f>IF(A95="","",COUNTIFS(Landscape!$C$2:$C$601,$D95,Landscape!$B$2:$B$601,"Application to object"))</f>
        <v/>
      </c>
      <c r="N95" s="17">
        <f>IF(A95="","",COUNTIFS(Landscape!$C$2:$C$601,$D95,Landscape!$B$2:$B$601,"Application to interface"))</f>
        <v/>
      </c>
      <c r="O95" s="17">
        <f>IF(A95="","",COUNTIFS(Landscape!$C$2:$C$601,$D95,Landscape!$B$2:$B$601,"Application to component"))</f>
        <v/>
      </c>
      <c r="P95" s="17">
        <f>IF(A95="","",COUNTIFS(Landscape!$C$2:$C$601,$D95,Landscape!$B$2:$B$601,"Application to market"))</f>
        <v/>
      </c>
      <c r="Q95" s="17">
        <f>IF(A95="","",COUNTIF(Constraints!$B$2:$B$201,$A95))</f>
        <v/>
      </c>
      <c r="R95" s="18">
        <f>IF(A95="","",IF(Q95&gt;Settings!$B$4,"OVER","ok"))</f>
        <v/>
      </c>
    </row>
    <row r="96">
      <c r="A96" s="19" t="n"/>
      <c r="B96" s="19" t="n"/>
      <c r="C96" s="19" t="n"/>
      <c r="D96" s="19" t="n"/>
      <c r="E96" s="19" t="n"/>
      <c r="F96" s="19" t="n"/>
      <c r="G96" s="19" t="n"/>
      <c r="H96" s="19" t="n"/>
      <c r="I96" s="19" t="n"/>
      <c r="J96" s="16">
        <f>IF(OR(C96="",I96=""),0,I96-C96)</f>
        <v/>
      </c>
      <c r="K96" s="13">
        <f>IF(A96="","",IF(J96&lt;=Settings!$B$5,"yes","LATE"))</f>
        <v/>
      </c>
      <c r="L96" s="17">
        <f>IF(A96="","",COUNTIFS(Landscape!$C$2:$C$601,$D96,Landscape!$B$2:$B$601,"Domain to application"))</f>
        <v/>
      </c>
      <c r="M96" s="17">
        <f>IF(A96="","",COUNTIFS(Landscape!$C$2:$C$601,$D96,Landscape!$B$2:$B$601,"Application to object"))</f>
        <v/>
      </c>
      <c r="N96" s="17">
        <f>IF(A96="","",COUNTIFS(Landscape!$C$2:$C$601,$D96,Landscape!$B$2:$B$601,"Application to interface"))</f>
        <v/>
      </c>
      <c r="O96" s="17">
        <f>IF(A96="","",COUNTIFS(Landscape!$C$2:$C$601,$D96,Landscape!$B$2:$B$601,"Application to component"))</f>
        <v/>
      </c>
      <c r="P96" s="17">
        <f>IF(A96="","",COUNTIFS(Landscape!$C$2:$C$601,$D96,Landscape!$B$2:$B$601,"Application to market"))</f>
        <v/>
      </c>
      <c r="Q96" s="17">
        <f>IF(A96="","",COUNTIF(Constraints!$B$2:$B$201,$A96))</f>
        <v/>
      </c>
      <c r="R96" s="18">
        <f>IF(A96="","",IF(Q96&gt;Settings!$B$4,"OVER","ok"))</f>
        <v/>
      </c>
    </row>
    <row r="97">
      <c r="A97" s="19" t="n"/>
      <c r="B97" s="19" t="n"/>
      <c r="C97" s="19" t="n"/>
      <c r="D97" s="19" t="n"/>
      <c r="E97" s="19" t="n"/>
      <c r="F97" s="19" t="n"/>
      <c r="G97" s="19" t="n"/>
      <c r="H97" s="19" t="n"/>
      <c r="I97" s="19" t="n"/>
      <c r="J97" s="16">
        <f>IF(OR(C97="",I97=""),0,I97-C97)</f>
        <v/>
      </c>
      <c r="K97" s="13">
        <f>IF(A97="","",IF(J97&lt;=Settings!$B$5,"yes","LATE"))</f>
        <v/>
      </c>
      <c r="L97" s="17">
        <f>IF(A97="","",COUNTIFS(Landscape!$C$2:$C$601,$D97,Landscape!$B$2:$B$601,"Domain to application"))</f>
        <v/>
      </c>
      <c r="M97" s="17">
        <f>IF(A97="","",COUNTIFS(Landscape!$C$2:$C$601,$D97,Landscape!$B$2:$B$601,"Application to object"))</f>
        <v/>
      </c>
      <c r="N97" s="17">
        <f>IF(A97="","",COUNTIFS(Landscape!$C$2:$C$601,$D97,Landscape!$B$2:$B$601,"Application to interface"))</f>
        <v/>
      </c>
      <c r="O97" s="17">
        <f>IF(A97="","",COUNTIFS(Landscape!$C$2:$C$601,$D97,Landscape!$B$2:$B$601,"Application to component"))</f>
        <v/>
      </c>
      <c r="P97" s="17">
        <f>IF(A97="","",COUNTIFS(Landscape!$C$2:$C$601,$D97,Landscape!$B$2:$B$601,"Application to market"))</f>
        <v/>
      </c>
      <c r="Q97" s="17">
        <f>IF(A97="","",COUNTIF(Constraints!$B$2:$B$201,$A97))</f>
        <v/>
      </c>
      <c r="R97" s="18">
        <f>IF(A97="","",IF(Q97&gt;Settings!$B$4,"OVER","ok"))</f>
        <v/>
      </c>
    </row>
    <row r="98">
      <c r="A98" s="19" t="n"/>
      <c r="B98" s="19" t="n"/>
      <c r="C98" s="19" t="n"/>
      <c r="D98" s="19" t="n"/>
      <c r="E98" s="19" t="n"/>
      <c r="F98" s="19" t="n"/>
      <c r="G98" s="19" t="n"/>
      <c r="H98" s="19" t="n"/>
      <c r="I98" s="19" t="n"/>
      <c r="J98" s="16">
        <f>IF(OR(C98="",I98=""),0,I98-C98)</f>
        <v/>
      </c>
      <c r="K98" s="13">
        <f>IF(A98="","",IF(J98&lt;=Settings!$B$5,"yes","LATE"))</f>
        <v/>
      </c>
      <c r="L98" s="17">
        <f>IF(A98="","",COUNTIFS(Landscape!$C$2:$C$601,$D98,Landscape!$B$2:$B$601,"Domain to application"))</f>
        <v/>
      </c>
      <c r="M98" s="17">
        <f>IF(A98="","",COUNTIFS(Landscape!$C$2:$C$601,$D98,Landscape!$B$2:$B$601,"Application to object"))</f>
        <v/>
      </c>
      <c r="N98" s="17">
        <f>IF(A98="","",COUNTIFS(Landscape!$C$2:$C$601,$D98,Landscape!$B$2:$B$601,"Application to interface"))</f>
        <v/>
      </c>
      <c r="O98" s="17">
        <f>IF(A98="","",COUNTIFS(Landscape!$C$2:$C$601,$D98,Landscape!$B$2:$B$601,"Application to component"))</f>
        <v/>
      </c>
      <c r="P98" s="17">
        <f>IF(A98="","",COUNTIFS(Landscape!$C$2:$C$601,$D98,Landscape!$B$2:$B$601,"Application to market"))</f>
        <v/>
      </c>
      <c r="Q98" s="17">
        <f>IF(A98="","",COUNTIF(Constraints!$B$2:$B$201,$A98))</f>
        <v/>
      </c>
      <c r="R98" s="18">
        <f>IF(A98="","",IF(Q98&gt;Settings!$B$4,"OVER","ok"))</f>
        <v/>
      </c>
    </row>
    <row r="99">
      <c r="A99" s="19" t="n"/>
      <c r="B99" s="19" t="n"/>
      <c r="C99" s="19" t="n"/>
      <c r="D99" s="19" t="n"/>
      <c r="E99" s="19" t="n"/>
      <c r="F99" s="19" t="n"/>
      <c r="G99" s="19" t="n"/>
      <c r="H99" s="19" t="n"/>
      <c r="I99" s="19" t="n"/>
      <c r="J99" s="16">
        <f>IF(OR(C99="",I99=""),0,I99-C99)</f>
        <v/>
      </c>
      <c r="K99" s="13">
        <f>IF(A99="","",IF(J99&lt;=Settings!$B$5,"yes","LATE"))</f>
        <v/>
      </c>
      <c r="L99" s="17">
        <f>IF(A99="","",COUNTIFS(Landscape!$C$2:$C$601,$D99,Landscape!$B$2:$B$601,"Domain to application"))</f>
        <v/>
      </c>
      <c r="M99" s="17">
        <f>IF(A99="","",COUNTIFS(Landscape!$C$2:$C$601,$D99,Landscape!$B$2:$B$601,"Application to object"))</f>
        <v/>
      </c>
      <c r="N99" s="17">
        <f>IF(A99="","",COUNTIFS(Landscape!$C$2:$C$601,$D99,Landscape!$B$2:$B$601,"Application to interface"))</f>
        <v/>
      </c>
      <c r="O99" s="17">
        <f>IF(A99="","",COUNTIFS(Landscape!$C$2:$C$601,$D99,Landscape!$B$2:$B$601,"Application to component"))</f>
        <v/>
      </c>
      <c r="P99" s="17">
        <f>IF(A99="","",COUNTIFS(Landscape!$C$2:$C$601,$D99,Landscape!$B$2:$B$601,"Application to market"))</f>
        <v/>
      </c>
      <c r="Q99" s="17">
        <f>IF(A99="","",COUNTIF(Constraints!$B$2:$B$201,$A99))</f>
        <v/>
      </c>
      <c r="R99" s="18">
        <f>IF(A99="","",IF(Q99&gt;Settings!$B$4,"OVER","ok"))</f>
        <v/>
      </c>
    </row>
    <row r="100">
      <c r="A100" s="19" t="n"/>
      <c r="B100" s="19" t="n"/>
      <c r="C100" s="19" t="n"/>
      <c r="D100" s="19" t="n"/>
      <c r="E100" s="19" t="n"/>
      <c r="F100" s="19" t="n"/>
      <c r="G100" s="19" t="n"/>
      <c r="H100" s="19" t="n"/>
      <c r="I100" s="19" t="n"/>
      <c r="J100" s="16">
        <f>IF(OR(C100="",I100=""),0,I100-C100)</f>
        <v/>
      </c>
      <c r="K100" s="13">
        <f>IF(A100="","",IF(J100&lt;=Settings!$B$5,"yes","LATE"))</f>
        <v/>
      </c>
      <c r="L100" s="17">
        <f>IF(A100="","",COUNTIFS(Landscape!$C$2:$C$601,$D100,Landscape!$B$2:$B$601,"Domain to application"))</f>
        <v/>
      </c>
      <c r="M100" s="17">
        <f>IF(A100="","",COUNTIFS(Landscape!$C$2:$C$601,$D100,Landscape!$B$2:$B$601,"Application to object"))</f>
        <v/>
      </c>
      <c r="N100" s="17">
        <f>IF(A100="","",COUNTIFS(Landscape!$C$2:$C$601,$D100,Landscape!$B$2:$B$601,"Application to interface"))</f>
        <v/>
      </c>
      <c r="O100" s="17">
        <f>IF(A100="","",COUNTIFS(Landscape!$C$2:$C$601,$D100,Landscape!$B$2:$B$601,"Application to component"))</f>
        <v/>
      </c>
      <c r="P100" s="17">
        <f>IF(A100="","",COUNTIFS(Landscape!$C$2:$C$601,$D100,Landscape!$B$2:$B$601,"Application to market"))</f>
        <v/>
      </c>
      <c r="Q100" s="17">
        <f>IF(A100="","",COUNTIF(Constraints!$B$2:$B$201,$A100))</f>
        <v/>
      </c>
      <c r="R100" s="18">
        <f>IF(A100="","",IF(Q100&gt;Settings!$B$4,"OVER","ok"))</f>
        <v/>
      </c>
    </row>
    <row r="101">
      <c r="A101" s="19" t="n"/>
      <c r="B101" s="19" t="n"/>
      <c r="C101" s="19" t="n"/>
      <c r="D101" s="19" t="n"/>
      <c r="E101" s="19" t="n"/>
      <c r="F101" s="19" t="n"/>
      <c r="G101" s="19" t="n"/>
      <c r="H101" s="19" t="n"/>
      <c r="I101" s="19" t="n"/>
      <c r="J101" s="16">
        <f>IF(OR(C101="",I101=""),0,I101-C101)</f>
        <v/>
      </c>
      <c r="K101" s="13">
        <f>IF(A101="","",IF(J101&lt;=Settings!$B$5,"yes","LATE"))</f>
        <v/>
      </c>
      <c r="L101" s="17">
        <f>IF(A101="","",COUNTIFS(Landscape!$C$2:$C$601,$D101,Landscape!$B$2:$B$601,"Domain to application"))</f>
        <v/>
      </c>
      <c r="M101" s="17">
        <f>IF(A101="","",COUNTIFS(Landscape!$C$2:$C$601,$D101,Landscape!$B$2:$B$601,"Application to object"))</f>
        <v/>
      </c>
      <c r="N101" s="17">
        <f>IF(A101="","",COUNTIFS(Landscape!$C$2:$C$601,$D101,Landscape!$B$2:$B$601,"Application to interface"))</f>
        <v/>
      </c>
      <c r="O101" s="17">
        <f>IF(A101="","",COUNTIFS(Landscape!$C$2:$C$601,$D101,Landscape!$B$2:$B$601,"Application to component"))</f>
        <v/>
      </c>
      <c r="P101" s="17">
        <f>IF(A101="","",COUNTIFS(Landscape!$C$2:$C$601,$D101,Landscape!$B$2:$B$601,"Application to market"))</f>
        <v/>
      </c>
      <c r="Q101" s="17">
        <f>IF(A101="","",COUNTIF(Constraints!$B$2:$B$201,$A101))</f>
        <v/>
      </c>
      <c r="R101" s="18">
        <f>IF(A101="","",IF(Q101&gt;Settings!$B$4,"OVER","ok"))</f>
        <v/>
      </c>
    </row>
    <row r="102">
      <c r="A102" s="19" t="n"/>
      <c r="B102" s="19" t="n"/>
      <c r="C102" s="19" t="n"/>
      <c r="D102" s="19" t="n"/>
      <c r="E102" s="19" t="n"/>
      <c r="F102" s="19" t="n"/>
      <c r="G102" s="19" t="n"/>
      <c r="H102" s="19" t="n"/>
      <c r="I102" s="19" t="n"/>
      <c r="J102" s="16">
        <f>IF(OR(C102="",I102=""),0,I102-C102)</f>
        <v/>
      </c>
      <c r="K102" s="13">
        <f>IF(A102="","",IF(J102&lt;=Settings!$B$5,"yes","LATE"))</f>
        <v/>
      </c>
      <c r="L102" s="17">
        <f>IF(A102="","",COUNTIFS(Landscape!$C$2:$C$601,$D102,Landscape!$B$2:$B$601,"Domain to application"))</f>
        <v/>
      </c>
      <c r="M102" s="17">
        <f>IF(A102="","",COUNTIFS(Landscape!$C$2:$C$601,$D102,Landscape!$B$2:$B$601,"Application to object"))</f>
        <v/>
      </c>
      <c r="N102" s="17">
        <f>IF(A102="","",COUNTIFS(Landscape!$C$2:$C$601,$D102,Landscape!$B$2:$B$601,"Application to interface"))</f>
        <v/>
      </c>
      <c r="O102" s="17">
        <f>IF(A102="","",COUNTIFS(Landscape!$C$2:$C$601,$D102,Landscape!$B$2:$B$601,"Application to component"))</f>
        <v/>
      </c>
      <c r="P102" s="17">
        <f>IF(A102="","",COUNTIFS(Landscape!$C$2:$C$601,$D102,Landscape!$B$2:$B$601,"Application to market"))</f>
        <v/>
      </c>
      <c r="Q102" s="17">
        <f>IF(A102="","",COUNTIF(Constraints!$B$2:$B$201,$A102))</f>
        <v/>
      </c>
      <c r="R102" s="18">
        <f>IF(A102="","",IF(Q102&gt;Settings!$B$4,"OVER","ok"))</f>
        <v/>
      </c>
    </row>
    <row r="103">
      <c r="A103" s="19" t="n"/>
      <c r="B103" s="19" t="n"/>
      <c r="C103" s="19" t="n"/>
      <c r="D103" s="19" t="n"/>
      <c r="E103" s="19" t="n"/>
      <c r="F103" s="19" t="n"/>
      <c r="G103" s="19" t="n"/>
      <c r="H103" s="19" t="n"/>
      <c r="I103" s="19" t="n"/>
      <c r="J103" s="16">
        <f>IF(OR(C103="",I103=""),0,I103-C103)</f>
        <v/>
      </c>
      <c r="K103" s="13">
        <f>IF(A103="","",IF(J103&lt;=Settings!$B$5,"yes","LATE"))</f>
        <v/>
      </c>
      <c r="L103" s="17">
        <f>IF(A103="","",COUNTIFS(Landscape!$C$2:$C$601,$D103,Landscape!$B$2:$B$601,"Domain to application"))</f>
        <v/>
      </c>
      <c r="M103" s="17">
        <f>IF(A103="","",COUNTIFS(Landscape!$C$2:$C$601,$D103,Landscape!$B$2:$B$601,"Application to object"))</f>
        <v/>
      </c>
      <c r="N103" s="17">
        <f>IF(A103="","",COUNTIFS(Landscape!$C$2:$C$601,$D103,Landscape!$B$2:$B$601,"Application to interface"))</f>
        <v/>
      </c>
      <c r="O103" s="17">
        <f>IF(A103="","",COUNTIFS(Landscape!$C$2:$C$601,$D103,Landscape!$B$2:$B$601,"Application to component"))</f>
        <v/>
      </c>
      <c r="P103" s="17">
        <f>IF(A103="","",COUNTIFS(Landscape!$C$2:$C$601,$D103,Landscape!$B$2:$B$601,"Application to market"))</f>
        <v/>
      </c>
      <c r="Q103" s="17">
        <f>IF(A103="","",COUNTIF(Constraints!$B$2:$B$201,$A103))</f>
        <v/>
      </c>
      <c r="R103" s="18">
        <f>IF(A103="","",IF(Q103&gt;Settings!$B$4,"OVER","ok"))</f>
        <v/>
      </c>
    </row>
    <row r="104">
      <c r="A104" s="19" t="n"/>
      <c r="B104" s="19" t="n"/>
      <c r="C104" s="19" t="n"/>
      <c r="D104" s="19" t="n"/>
      <c r="E104" s="19" t="n"/>
      <c r="F104" s="19" t="n"/>
      <c r="G104" s="19" t="n"/>
      <c r="H104" s="19" t="n"/>
      <c r="I104" s="19" t="n"/>
      <c r="J104" s="16">
        <f>IF(OR(C104="",I104=""),0,I104-C104)</f>
        <v/>
      </c>
      <c r="K104" s="13">
        <f>IF(A104="","",IF(J104&lt;=Settings!$B$5,"yes","LATE"))</f>
        <v/>
      </c>
      <c r="L104" s="17">
        <f>IF(A104="","",COUNTIFS(Landscape!$C$2:$C$601,$D104,Landscape!$B$2:$B$601,"Domain to application"))</f>
        <v/>
      </c>
      <c r="M104" s="17">
        <f>IF(A104="","",COUNTIFS(Landscape!$C$2:$C$601,$D104,Landscape!$B$2:$B$601,"Application to object"))</f>
        <v/>
      </c>
      <c r="N104" s="17">
        <f>IF(A104="","",COUNTIFS(Landscape!$C$2:$C$601,$D104,Landscape!$B$2:$B$601,"Application to interface"))</f>
        <v/>
      </c>
      <c r="O104" s="17">
        <f>IF(A104="","",COUNTIFS(Landscape!$C$2:$C$601,$D104,Landscape!$B$2:$B$601,"Application to component"))</f>
        <v/>
      </c>
      <c r="P104" s="17">
        <f>IF(A104="","",COUNTIFS(Landscape!$C$2:$C$601,$D104,Landscape!$B$2:$B$601,"Application to market"))</f>
        <v/>
      </c>
      <c r="Q104" s="17">
        <f>IF(A104="","",COUNTIF(Constraints!$B$2:$B$201,$A104))</f>
        <v/>
      </c>
      <c r="R104" s="18">
        <f>IF(A104="","",IF(Q104&gt;Settings!$B$4,"OVER","ok"))</f>
        <v/>
      </c>
    </row>
    <row r="105">
      <c r="A105" s="19" t="n"/>
      <c r="B105" s="19" t="n"/>
      <c r="C105" s="19" t="n"/>
      <c r="D105" s="19" t="n"/>
      <c r="E105" s="19" t="n"/>
      <c r="F105" s="19" t="n"/>
      <c r="G105" s="19" t="n"/>
      <c r="H105" s="19" t="n"/>
      <c r="I105" s="19" t="n"/>
      <c r="J105" s="16">
        <f>IF(OR(C105="",I105=""),0,I105-C105)</f>
        <v/>
      </c>
      <c r="K105" s="13">
        <f>IF(A105="","",IF(J105&lt;=Settings!$B$5,"yes","LATE"))</f>
        <v/>
      </c>
      <c r="L105" s="17">
        <f>IF(A105="","",COUNTIFS(Landscape!$C$2:$C$601,$D105,Landscape!$B$2:$B$601,"Domain to application"))</f>
        <v/>
      </c>
      <c r="M105" s="17">
        <f>IF(A105="","",COUNTIFS(Landscape!$C$2:$C$601,$D105,Landscape!$B$2:$B$601,"Application to object"))</f>
        <v/>
      </c>
      <c r="N105" s="17">
        <f>IF(A105="","",COUNTIFS(Landscape!$C$2:$C$601,$D105,Landscape!$B$2:$B$601,"Application to interface"))</f>
        <v/>
      </c>
      <c r="O105" s="17">
        <f>IF(A105="","",COUNTIFS(Landscape!$C$2:$C$601,$D105,Landscape!$B$2:$B$601,"Application to component"))</f>
        <v/>
      </c>
      <c r="P105" s="17">
        <f>IF(A105="","",COUNTIFS(Landscape!$C$2:$C$601,$D105,Landscape!$B$2:$B$601,"Application to market"))</f>
        <v/>
      </c>
      <c r="Q105" s="17">
        <f>IF(A105="","",COUNTIF(Constraints!$B$2:$B$201,$A105))</f>
        <v/>
      </c>
      <c r="R105" s="18">
        <f>IF(A105="","",IF(Q105&gt;Settings!$B$4,"OVER","ok"))</f>
        <v/>
      </c>
    </row>
    <row r="106">
      <c r="A106" s="19" t="n"/>
      <c r="B106" s="19" t="n"/>
      <c r="C106" s="19" t="n"/>
      <c r="D106" s="19" t="n"/>
      <c r="E106" s="19" t="n"/>
      <c r="F106" s="19" t="n"/>
      <c r="G106" s="19" t="n"/>
      <c r="H106" s="19" t="n"/>
      <c r="I106" s="19" t="n"/>
      <c r="J106" s="16">
        <f>IF(OR(C106="",I106=""),0,I106-C106)</f>
        <v/>
      </c>
      <c r="K106" s="13">
        <f>IF(A106="","",IF(J106&lt;=Settings!$B$5,"yes","LATE"))</f>
        <v/>
      </c>
      <c r="L106" s="17">
        <f>IF(A106="","",COUNTIFS(Landscape!$C$2:$C$601,$D106,Landscape!$B$2:$B$601,"Domain to application"))</f>
        <v/>
      </c>
      <c r="M106" s="17">
        <f>IF(A106="","",COUNTIFS(Landscape!$C$2:$C$601,$D106,Landscape!$B$2:$B$601,"Application to object"))</f>
        <v/>
      </c>
      <c r="N106" s="17">
        <f>IF(A106="","",COUNTIFS(Landscape!$C$2:$C$601,$D106,Landscape!$B$2:$B$601,"Application to interface"))</f>
        <v/>
      </c>
      <c r="O106" s="17">
        <f>IF(A106="","",COUNTIFS(Landscape!$C$2:$C$601,$D106,Landscape!$B$2:$B$601,"Application to component"))</f>
        <v/>
      </c>
      <c r="P106" s="17">
        <f>IF(A106="","",COUNTIFS(Landscape!$C$2:$C$601,$D106,Landscape!$B$2:$B$601,"Application to market"))</f>
        <v/>
      </c>
      <c r="Q106" s="17">
        <f>IF(A106="","",COUNTIF(Constraints!$B$2:$B$201,$A106))</f>
        <v/>
      </c>
      <c r="R106" s="18">
        <f>IF(A106="","",IF(Q106&gt;Settings!$B$4,"OVER","ok"))</f>
        <v/>
      </c>
    </row>
    <row r="107">
      <c r="A107" s="19" t="n"/>
      <c r="B107" s="19" t="n"/>
      <c r="C107" s="19" t="n"/>
      <c r="D107" s="19" t="n"/>
      <c r="E107" s="19" t="n"/>
      <c r="F107" s="19" t="n"/>
      <c r="G107" s="19" t="n"/>
      <c r="H107" s="19" t="n"/>
      <c r="I107" s="19" t="n"/>
      <c r="J107" s="16">
        <f>IF(OR(C107="",I107=""),0,I107-C107)</f>
        <v/>
      </c>
      <c r="K107" s="13">
        <f>IF(A107="","",IF(J107&lt;=Settings!$B$5,"yes","LATE"))</f>
        <v/>
      </c>
      <c r="L107" s="17">
        <f>IF(A107="","",COUNTIFS(Landscape!$C$2:$C$601,$D107,Landscape!$B$2:$B$601,"Domain to application"))</f>
        <v/>
      </c>
      <c r="M107" s="17">
        <f>IF(A107="","",COUNTIFS(Landscape!$C$2:$C$601,$D107,Landscape!$B$2:$B$601,"Application to object"))</f>
        <v/>
      </c>
      <c r="N107" s="17">
        <f>IF(A107="","",COUNTIFS(Landscape!$C$2:$C$601,$D107,Landscape!$B$2:$B$601,"Application to interface"))</f>
        <v/>
      </c>
      <c r="O107" s="17">
        <f>IF(A107="","",COUNTIFS(Landscape!$C$2:$C$601,$D107,Landscape!$B$2:$B$601,"Application to component"))</f>
        <v/>
      </c>
      <c r="P107" s="17">
        <f>IF(A107="","",COUNTIFS(Landscape!$C$2:$C$601,$D107,Landscape!$B$2:$B$601,"Application to market"))</f>
        <v/>
      </c>
      <c r="Q107" s="17">
        <f>IF(A107="","",COUNTIF(Constraints!$B$2:$B$201,$A107))</f>
        <v/>
      </c>
      <c r="R107" s="18">
        <f>IF(A107="","",IF(Q107&gt;Settings!$B$4,"OVER","ok"))</f>
        <v/>
      </c>
    </row>
    <row r="108">
      <c r="A108" s="19" t="n"/>
      <c r="B108" s="19" t="n"/>
      <c r="C108" s="19" t="n"/>
      <c r="D108" s="19" t="n"/>
      <c r="E108" s="19" t="n"/>
      <c r="F108" s="19" t="n"/>
      <c r="G108" s="19" t="n"/>
      <c r="H108" s="19" t="n"/>
      <c r="I108" s="19" t="n"/>
      <c r="J108" s="16">
        <f>IF(OR(C108="",I108=""),0,I108-C108)</f>
        <v/>
      </c>
      <c r="K108" s="13">
        <f>IF(A108="","",IF(J108&lt;=Settings!$B$5,"yes","LATE"))</f>
        <v/>
      </c>
      <c r="L108" s="17">
        <f>IF(A108="","",COUNTIFS(Landscape!$C$2:$C$601,$D108,Landscape!$B$2:$B$601,"Domain to application"))</f>
        <v/>
      </c>
      <c r="M108" s="17">
        <f>IF(A108="","",COUNTIFS(Landscape!$C$2:$C$601,$D108,Landscape!$B$2:$B$601,"Application to object"))</f>
        <v/>
      </c>
      <c r="N108" s="17">
        <f>IF(A108="","",COUNTIFS(Landscape!$C$2:$C$601,$D108,Landscape!$B$2:$B$601,"Application to interface"))</f>
        <v/>
      </c>
      <c r="O108" s="17">
        <f>IF(A108="","",COUNTIFS(Landscape!$C$2:$C$601,$D108,Landscape!$B$2:$B$601,"Application to component"))</f>
        <v/>
      </c>
      <c r="P108" s="17">
        <f>IF(A108="","",COUNTIFS(Landscape!$C$2:$C$601,$D108,Landscape!$B$2:$B$601,"Application to market"))</f>
        <v/>
      </c>
      <c r="Q108" s="17">
        <f>IF(A108="","",COUNTIF(Constraints!$B$2:$B$201,$A108))</f>
        <v/>
      </c>
      <c r="R108" s="18">
        <f>IF(A108="","",IF(Q108&gt;Settings!$B$4,"OVER","ok"))</f>
        <v/>
      </c>
    </row>
    <row r="109">
      <c r="A109" s="19" t="n"/>
      <c r="B109" s="19" t="n"/>
      <c r="C109" s="19" t="n"/>
      <c r="D109" s="19" t="n"/>
      <c r="E109" s="19" t="n"/>
      <c r="F109" s="19" t="n"/>
      <c r="G109" s="19" t="n"/>
      <c r="H109" s="19" t="n"/>
      <c r="I109" s="19" t="n"/>
      <c r="J109" s="16">
        <f>IF(OR(C109="",I109=""),0,I109-C109)</f>
        <v/>
      </c>
      <c r="K109" s="13">
        <f>IF(A109="","",IF(J109&lt;=Settings!$B$5,"yes","LATE"))</f>
        <v/>
      </c>
      <c r="L109" s="17">
        <f>IF(A109="","",COUNTIFS(Landscape!$C$2:$C$601,$D109,Landscape!$B$2:$B$601,"Domain to application"))</f>
        <v/>
      </c>
      <c r="M109" s="17">
        <f>IF(A109="","",COUNTIFS(Landscape!$C$2:$C$601,$D109,Landscape!$B$2:$B$601,"Application to object"))</f>
        <v/>
      </c>
      <c r="N109" s="17">
        <f>IF(A109="","",COUNTIFS(Landscape!$C$2:$C$601,$D109,Landscape!$B$2:$B$601,"Application to interface"))</f>
        <v/>
      </c>
      <c r="O109" s="17">
        <f>IF(A109="","",COUNTIFS(Landscape!$C$2:$C$601,$D109,Landscape!$B$2:$B$601,"Application to component"))</f>
        <v/>
      </c>
      <c r="P109" s="17">
        <f>IF(A109="","",COUNTIFS(Landscape!$C$2:$C$601,$D109,Landscape!$B$2:$B$601,"Application to market"))</f>
        <v/>
      </c>
      <c r="Q109" s="17">
        <f>IF(A109="","",COUNTIF(Constraints!$B$2:$B$201,$A109))</f>
        <v/>
      </c>
      <c r="R109" s="18">
        <f>IF(A109="","",IF(Q109&gt;Settings!$B$4,"OVER","ok"))</f>
        <v/>
      </c>
    </row>
    <row r="110">
      <c r="A110" s="19" t="n"/>
      <c r="B110" s="19" t="n"/>
      <c r="C110" s="19" t="n"/>
      <c r="D110" s="19" t="n"/>
      <c r="E110" s="19" t="n"/>
      <c r="F110" s="19" t="n"/>
      <c r="G110" s="19" t="n"/>
      <c r="H110" s="19" t="n"/>
      <c r="I110" s="19" t="n"/>
      <c r="J110" s="16">
        <f>IF(OR(C110="",I110=""),0,I110-C110)</f>
        <v/>
      </c>
      <c r="K110" s="13">
        <f>IF(A110="","",IF(J110&lt;=Settings!$B$5,"yes","LATE"))</f>
        <v/>
      </c>
      <c r="L110" s="17">
        <f>IF(A110="","",COUNTIFS(Landscape!$C$2:$C$601,$D110,Landscape!$B$2:$B$601,"Domain to application"))</f>
        <v/>
      </c>
      <c r="M110" s="17">
        <f>IF(A110="","",COUNTIFS(Landscape!$C$2:$C$601,$D110,Landscape!$B$2:$B$601,"Application to object"))</f>
        <v/>
      </c>
      <c r="N110" s="17">
        <f>IF(A110="","",COUNTIFS(Landscape!$C$2:$C$601,$D110,Landscape!$B$2:$B$601,"Application to interface"))</f>
        <v/>
      </c>
      <c r="O110" s="17">
        <f>IF(A110="","",COUNTIFS(Landscape!$C$2:$C$601,$D110,Landscape!$B$2:$B$601,"Application to component"))</f>
        <v/>
      </c>
      <c r="P110" s="17">
        <f>IF(A110="","",COUNTIFS(Landscape!$C$2:$C$601,$D110,Landscape!$B$2:$B$601,"Application to market"))</f>
        <v/>
      </c>
      <c r="Q110" s="17">
        <f>IF(A110="","",COUNTIF(Constraints!$B$2:$B$201,$A110))</f>
        <v/>
      </c>
      <c r="R110" s="18">
        <f>IF(A110="","",IF(Q110&gt;Settings!$B$4,"OVER","ok"))</f>
        <v/>
      </c>
    </row>
    <row r="111">
      <c r="A111" s="19" t="n"/>
      <c r="B111" s="19" t="n"/>
      <c r="C111" s="19" t="n"/>
      <c r="D111" s="19" t="n"/>
      <c r="E111" s="19" t="n"/>
      <c r="F111" s="19" t="n"/>
      <c r="G111" s="19" t="n"/>
      <c r="H111" s="19" t="n"/>
      <c r="I111" s="19" t="n"/>
      <c r="J111" s="16">
        <f>IF(OR(C111="",I111=""),0,I111-C111)</f>
        <v/>
      </c>
      <c r="K111" s="13">
        <f>IF(A111="","",IF(J111&lt;=Settings!$B$5,"yes","LATE"))</f>
        <v/>
      </c>
      <c r="L111" s="17">
        <f>IF(A111="","",COUNTIFS(Landscape!$C$2:$C$601,$D111,Landscape!$B$2:$B$601,"Domain to application"))</f>
        <v/>
      </c>
      <c r="M111" s="17">
        <f>IF(A111="","",COUNTIFS(Landscape!$C$2:$C$601,$D111,Landscape!$B$2:$B$601,"Application to object"))</f>
        <v/>
      </c>
      <c r="N111" s="17">
        <f>IF(A111="","",COUNTIFS(Landscape!$C$2:$C$601,$D111,Landscape!$B$2:$B$601,"Application to interface"))</f>
        <v/>
      </c>
      <c r="O111" s="17">
        <f>IF(A111="","",COUNTIFS(Landscape!$C$2:$C$601,$D111,Landscape!$B$2:$B$601,"Application to component"))</f>
        <v/>
      </c>
      <c r="P111" s="17">
        <f>IF(A111="","",COUNTIFS(Landscape!$C$2:$C$601,$D111,Landscape!$B$2:$B$601,"Application to market"))</f>
        <v/>
      </c>
      <c r="Q111" s="17">
        <f>IF(A111="","",COUNTIF(Constraints!$B$2:$B$201,$A111))</f>
        <v/>
      </c>
      <c r="R111" s="18">
        <f>IF(A111="","",IF(Q111&gt;Settings!$B$4,"OVER","ok"))</f>
        <v/>
      </c>
    </row>
    <row r="112">
      <c r="A112" s="19" t="n"/>
      <c r="B112" s="19" t="n"/>
      <c r="C112" s="19" t="n"/>
      <c r="D112" s="19" t="n"/>
      <c r="E112" s="19" t="n"/>
      <c r="F112" s="19" t="n"/>
      <c r="G112" s="19" t="n"/>
      <c r="H112" s="19" t="n"/>
      <c r="I112" s="19" t="n"/>
      <c r="J112" s="16">
        <f>IF(OR(C112="",I112=""),0,I112-C112)</f>
        <v/>
      </c>
      <c r="K112" s="13">
        <f>IF(A112="","",IF(J112&lt;=Settings!$B$5,"yes","LATE"))</f>
        <v/>
      </c>
      <c r="L112" s="17">
        <f>IF(A112="","",COUNTIFS(Landscape!$C$2:$C$601,$D112,Landscape!$B$2:$B$601,"Domain to application"))</f>
        <v/>
      </c>
      <c r="M112" s="17">
        <f>IF(A112="","",COUNTIFS(Landscape!$C$2:$C$601,$D112,Landscape!$B$2:$B$601,"Application to object"))</f>
        <v/>
      </c>
      <c r="N112" s="17">
        <f>IF(A112="","",COUNTIFS(Landscape!$C$2:$C$601,$D112,Landscape!$B$2:$B$601,"Application to interface"))</f>
        <v/>
      </c>
      <c r="O112" s="17">
        <f>IF(A112="","",COUNTIFS(Landscape!$C$2:$C$601,$D112,Landscape!$B$2:$B$601,"Application to component"))</f>
        <v/>
      </c>
      <c r="P112" s="17">
        <f>IF(A112="","",COUNTIFS(Landscape!$C$2:$C$601,$D112,Landscape!$B$2:$B$601,"Application to market"))</f>
        <v/>
      </c>
      <c r="Q112" s="17">
        <f>IF(A112="","",COUNTIF(Constraints!$B$2:$B$201,$A112))</f>
        <v/>
      </c>
      <c r="R112" s="18">
        <f>IF(A112="","",IF(Q112&gt;Settings!$B$4,"OVER","ok"))</f>
        <v/>
      </c>
    </row>
    <row r="113">
      <c r="A113" s="19" t="n"/>
      <c r="B113" s="19" t="n"/>
      <c r="C113" s="19" t="n"/>
      <c r="D113" s="19" t="n"/>
      <c r="E113" s="19" t="n"/>
      <c r="F113" s="19" t="n"/>
      <c r="G113" s="19" t="n"/>
      <c r="H113" s="19" t="n"/>
      <c r="I113" s="19" t="n"/>
      <c r="J113" s="16">
        <f>IF(OR(C113="",I113=""),0,I113-C113)</f>
        <v/>
      </c>
      <c r="K113" s="13">
        <f>IF(A113="","",IF(J113&lt;=Settings!$B$5,"yes","LATE"))</f>
        <v/>
      </c>
      <c r="L113" s="17">
        <f>IF(A113="","",COUNTIFS(Landscape!$C$2:$C$601,$D113,Landscape!$B$2:$B$601,"Domain to application"))</f>
        <v/>
      </c>
      <c r="M113" s="17">
        <f>IF(A113="","",COUNTIFS(Landscape!$C$2:$C$601,$D113,Landscape!$B$2:$B$601,"Application to object"))</f>
        <v/>
      </c>
      <c r="N113" s="17">
        <f>IF(A113="","",COUNTIFS(Landscape!$C$2:$C$601,$D113,Landscape!$B$2:$B$601,"Application to interface"))</f>
        <v/>
      </c>
      <c r="O113" s="17">
        <f>IF(A113="","",COUNTIFS(Landscape!$C$2:$C$601,$D113,Landscape!$B$2:$B$601,"Application to component"))</f>
        <v/>
      </c>
      <c r="P113" s="17">
        <f>IF(A113="","",COUNTIFS(Landscape!$C$2:$C$601,$D113,Landscape!$B$2:$B$601,"Application to market"))</f>
        <v/>
      </c>
      <c r="Q113" s="17">
        <f>IF(A113="","",COUNTIF(Constraints!$B$2:$B$201,$A113))</f>
        <v/>
      </c>
      <c r="R113" s="18">
        <f>IF(A113="","",IF(Q113&gt;Settings!$B$4,"OVER","ok"))</f>
        <v/>
      </c>
    </row>
    <row r="114">
      <c r="A114" s="19" t="n"/>
      <c r="B114" s="19" t="n"/>
      <c r="C114" s="19" t="n"/>
      <c r="D114" s="19" t="n"/>
      <c r="E114" s="19" t="n"/>
      <c r="F114" s="19" t="n"/>
      <c r="G114" s="19" t="n"/>
      <c r="H114" s="19" t="n"/>
      <c r="I114" s="19" t="n"/>
      <c r="J114" s="16">
        <f>IF(OR(C114="",I114=""),0,I114-C114)</f>
        <v/>
      </c>
      <c r="K114" s="13">
        <f>IF(A114="","",IF(J114&lt;=Settings!$B$5,"yes","LATE"))</f>
        <v/>
      </c>
      <c r="L114" s="17">
        <f>IF(A114="","",COUNTIFS(Landscape!$C$2:$C$601,$D114,Landscape!$B$2:$B$601,"Domain to application"))</f>
        <v/>
      </c>
      <c r="M114" s="17">
        <f>IF(A114="","",COUNTIFS(Landscape!$C$2:$C$601,$D114,Landscape!$B$2:$B$601,"Application to object"))</f>
        <v/>
      </c>
      <c r="N114" s="17">
        <f>IF(A114="","",COUNTIFS(Landscape!$C$2:$C$601,$D114,Landscape!$B$2:$B$601,"Application to interface"))</f>
        <v/>
      </c>
      <c r="O114" s="17">
        <f>IF(A114="","",COUNTIFS(Landscape!$C$2:$C$601,$D114,Landscape!$B$2:$B$601,"Application to component"))</f>
        <v/>
      </c>
      <c r="P114" s="17">
        <f>IF(A114="","",COUNTIFS(Landscape!$C$2:$C$601,$D114,Landscape!$B$2:$B$601,"Application to market"))</f>
        <v/>
      </c>
      <c r="Q114" s="17">
        <f>IF(A114="","",COUNTIF(Constraints!$B$2:$B$201,$A114))</f>
        <v/>
      </c>
      <c r="R114" s="18">
        <f>IF(A114="","",IF(Q114&gt;Settings!$B$4,"OVER","ok"))</f>
        <v/>
      </c>
    </row>
    <row r="115">
      <c r="A115" s="19" t="n"/>
      <c r="B115" s="19" t="n"/>
      <c r="C115" s="19" t="n"/>
      <c r="D115" s="19" t="n"/>
      <c r="E115" s="19" t="n"/>
      <c r="F115" s="19" t="n"/>
      <c r="G115" s="19" t="n"/>
      <c r="H115" s="19" t="n"/>
      <c r="I115" s="19" t="n"/>
      <c r="J115" s="16">
        <f>IF(OR(C115="",I115=""),0,I115-C115)</f>
        <v/>
      </c>
      <c r="K115" s="13">
        <f>IF(A115="","",IF(J115&lt;=Settings!$B$5,"yes","LATE"))</f>
        <v/>
      </c>
      <c r="L115" s="17">
        <f>IF(A115="","",COUNTIFS(Landscape!$C$2:$C$601,$D115,Landscape!$B$2:$B$601,"Domain to application"))</f>
        <v/>
      </c>
      <c r="M115" s="17">
        <f>IF(A115="","",COUNTIFS(Landscape!$C$2:$C$601,$D115,Landscape!$B$2:$B$601,"Application to object"))</f>
        <v/>
      </c>
      <c r="N115" s="17">
        <f>IF(A115="","",COUNTIFS(Landscape!$C$2:$C$601,$D115,Landscape!$B$2:$B$601,"Application to interface"))</f>
        <v/>
      </c>
      <c r="O115" s="17">
        <f>IF(A115="","",COUNTIFS(Landscape!$C$2:$C$601,$D115,Landscape!$B$2:$B$601,"Application to component"))</f>
        <v/>
      </c>
      <c r="P115" s="17">
        <f>IF(A115="","",COUNTIFS(Landscape!$C$2:$C$601,$D115,Landscape!$B$2:$B$601,"Application to market"))</f>
        <v/>
      </c>
      <c r="Q115" s="17">
        <f>IF(A115="","",COUNTIF(Constraints!$B$2:$B$201,$A115))</f>
        <v/>
      </c>
      <c r="R115" s="18">
        <f>IF(A115="","",IF(Q115&gt;Settings!$B$4,"OVER","ok"))</f>
        <v/>
      </c>
    </row>
    <row r="116">
      <c r="A116" s="19" t="n"/>
      <c r="B116" s="19" t="n"/>
      <c r="C116" s="19" t="n"/>
      <c r="D116" s="19" t="n"/>
      <c r="E116" s="19" t="n"/>
      <c r="F116" s="19" t="n"/>
      <c r="G116" s="19" t="n"/>
      <c r="H116" s="19" t="n"/>
      <c r="I116" s="19" t="n"/>
      <c r="J116" s="16">
        <f>IF(OR(C116="",I116=""),0,I116-C116)</f>
        <v/>
      </c>
      <c r="K116" s="13">
        <f>IF(A116="","",IF(J116&lt;=Settings!$B$5,"yes","LATE"))</f>
        <v/>
      </c>
      <c r="L116" s="17">
        <f>IF(A116="","",COUNTIFS(Landscape!$C$2:$C$601,$D116,Landscape!$B$2:$B$601,"Domain to application"))</f>
        <v/>
      </c>
      <c r="M116" s="17">
        <f>IF(A116="","",COUNTIFS(Landscape!$C$2:$C$601,$D116,Landscape!$B$2:$B$601,"Application to object"))</f>
        <v/>
      </c>
      <c r="N116" s="17">
        <f>IF(A116="","",COUNTIFS(Landscape!$C$2:$C$601,$D116,Landscape!$B$2:$B$601,"Application to interface"))</f>
        <v/>
      </c>
      <c r="O116" s="17">
        <f>IF(A116="","",COUNTIFS(Landscape!$C$2:$C$601,$D116,Landscape!$B$2:$B$601,"Application to component"))</f>
        <v/>
      </c>
      <c r="P116" s="17">
        <f>IF(A116="","",COUNTIFS(Landscape!$C$2:$C$601,$D116,Landscape!$B$2:$B$601,"Application to market"))</f>
        <v/>
      </c>
      <c r="Q116" s="17">
        <f>IF(A116="","",COUNTIF(Constraints!$B$2:$B$201,$A116))</f>
        <v/>
      </c>
      <c r="R116" s="18">
        <f>IF(A116="","",IF(Q116&gt;Settings!$B$4,"OVER","ok"))</f>
        <v/>
      </c>
    </row>
    <row r="117">
      <c r="A117" s="19" t="n"/>
      <c r="B117" s="19" t="n"/>
      <c r="C117" s="19" t="n"/>
      <c r="D117" s="19" t="n"/>
      <c r="E117" s="19" t="n"/>
      <c r="F117" s="19" t="n"/>
      <c r="G117" s="19" t="n"/>
      <c r="H117" s="19" t="n"/>
      <c r="I117" s="19" t="n"/>
      <c r="J117" s="16">
        <f>IF(OR(C117="",I117=""),0,I117-C117)</f>
        <v/>
      </c>
      <c r="K117" s="13">
        <f>IF(A117="","",IF(J117&lt;=Settings!$B$5,"yes","LATE"))</f>
        <v/>
      </c>
      <c r="L117" s="17">
        <f>IF(A117="","",COUNTIFS(Landscape!$C$2:$C$601,$D117,Landscape!$B$2:$B$601,"Domain to application"))</f>
        <v/>
      </c>
      <c r="M117" s="17">
        <f>IF(A117="","",COUNTIFS(Landscape!$C$2:$C$601,$D117,Landscape!$B$2:$B$601,"Application to object"))</f>
        <v/>
      </c>
      <c r="N117" s="17">
        <f>IF(A117="","",COUNTIFS(Landscape!$C$2:$C$601,$D117,Landscape!$B$2:$B$601,"Application to interface"))</f>
        <v/>
      </c>
      <c r="O117" s="17">
        <f>IF(A117="","",COUNTIFS(Landscape!$C$2:$C$601,$D117,Landscape!$B$2:$B$601,"Application to component"))</f>
        <v/>
      </c>
      <c r="P117" s="17">
        <f>IF(A117="","",COUNTIFS(Landscape!$C$2:$C$601,$D117,Landscape!$B$2:$B$601,"Application to market"))</f>
        <v/>
      </c>
      <c r="Q117" s="17">
        <f>IF(A117="","",COUNTIF(Constraints!$B$2:$B$201,$A117))</f>
        <v/>
      </c>
      <c r="R117" s="18">
        <f>IF(A117="","",IF(Q117&gt;Settings!$B$4,"OVER","ok"))</f>
        <v/>
      </c>
    </row>
    <row r="118">
      <c r="A118" s="19" t="n"/>
      <c r="B118" s="19" t="n"/>
      <c r="C118" s="19" t="n"/>
      <c r="D118" s="19" t="n"/>
      <c r="E118" s="19" t="n"/>
      <c r="F118" s="19" t="n"/>
      <c r="G118" s="19" t="n"/>
      <c r="H118" s="19" t="n"/>
      <c r="I118" s="19" t="n"/>
      <c r="J118" s="16">
        <f>IF(OR(C118="",I118=""),0,I118-C118)</f>
        <v/>
      </c>
      <c r="K118" s="13">
        <f>IF(A118="","",IF(J118&lt;=Settings!$B$5,"yes","LATE"))</f>
        <v/>
      </c>
      <c r="L118" s="17">
        <f>IF(A118="","",COUNTIFS(Landscape!$C$2:$C$601,$D118,Landscape!$B$2:$B$601,"Domain to application"))</f>
        <v/>
      </c>
      <c r="M118" s="17">
        <f>IF(A118="","",COUNTIFS(Landscape!$C$2:$C$601,$D118,Landscape!$B$2:$B$601,"Application to object"))</f>
        <v/>
      </c>
      <c r="N118" s="17">
        <f>IF(A118="","",COUNTIFS(Landscape!$C$2:$C$601,$D118,Landscape!$B$2:$B$601,"Application to interface"))</f>
        <v/>
      </c>
      <c r="O118" s="17">
        <f>IF(A118="","",COUNTIFS(Landscape!$C$2:$C$601,$D118,Landscape!$B$2:$B$601,"Application to component"))</f>
        <v/>
      </c>
      <c r="P118" s="17">
        <f>IF(A118="","",COUNTIFS(Landscape!$C$2:$C$601,$D118,Landscape!$B$2:$B$601,"Application to market"))</f>
        <v/>
      </c>
      <c r="Q118" s="17">
        <f>IF(A118="","",COUNTIF(Constraints!$B$2:$B$201,$A118))</f>
        <v/>
      </c>
      <c r="R118" s="18">
        <f>IF(A118="","",IF(Q118&gt;Settings!$B$4,"OVER","ok"))</f>
        <v/>
      </c>
    </row>
    <row r="119">
      <c r="A119" s="19" t="n"/>
      <c r="B119" s="19" t="n"/>
      <c r="C119" s="19" t="n"/>
      <c r="D119" s="19" t="n"/>
      <c r="E119" s="19" t="n"/>
      <c r="F119" s="19" t="n"/>
      <c r="G119" s="19" t="n"/>
      <c r="H119" s="19" t="n"/>
      <c r="I119" s="19" t="n"/>
      <c r="J119" s="16">
        <f>IF(OR(C119="",I119=""),0,I119-C119)</f>
        <v/>
      </c>
      <c r="K119" s="13">
        <f>IF(A119="","",IF(J119&lt;=Settings!$B$5,"yes","LATE"))</f>
        <v/>
      </c>
      <c r="L119" s="17">
        <f>IF(A119="","",COUNTIFS(Landscape!$C$2:$C$601,$D119,Landscape!$B$2:$B$601,"Domain to application"))</f>
        <v/>
      </c>
      <c r="M119" s="17">
        <f>IF(A119="","",COUNTIFS(Landscape!$C$2:$C$601,$D119,Landscape!$B$2:$B$601,"Application to object"))</f>
        <v/>
      </c>
      <c r="N119" s="17">
        <f>IF(A119="","",COUNTIFS(Landscape!$C$2:$C$601,$D119,Landscape!$B$2:$B$601,"Application to interface"))</f>
        <v/>
      </c>
      <c r="O119" s="17">
        <f>IF(A119="","",COUNTIFS(Landscape!$C$2:$C$601,$D119,Landscape!$B$2:$B$601,"Application to component"))</f>
        <v/>
      </c>
      <c r="P119" s="17">
        <f>IF(A119="","",COUNTIFS(Landscape!$C$2:$C$601,$D119,Landscape!$B$2:$B$601,"Application to market"))</f>
        <v/>
      </c>
      <c r="Q119" s="17">
        <f>IF(A119="","",COUNTIF(Constraints!$B$2:$B$201,$A119))</f>
        <v/>
      </c>
      <c r="R119" s="18">
        <f>IF(A119="","",IF(Q119&gt;Settings!$B$4,"OVER","ok"))</f>
        <v/>
      </c>
    </row>
    <row r="120">
      <c r="A120" s="19" t="n"/>
      <c r="B120" s="19" t="n"/>
      <c r="C120" s="19" t="n"/>
      <c r="D120" s="19" t="n"/>
      <c r="E120" s="19" t="n"/>
      <c r="F120" s="19" t="n"/>
      <c r="G120" s="19" t="n"/>
      <c r="H120" s="19" t="n"/>
      <c r="I120" s="19" t="n"/>
      <c r="J120" s="16">
        <f>IF(OR(C120="",I120=""),0,I120-C120)</f>
        <v/>
      </c>
      <c r="K120" s="13">
        <f>IF(A120="","",IF(J120&lt;=Settings!$B$5,"yes","LATE"))</f>
        <v/>
      </c>
      <c r="L120" s="17">
        <f>IF(A120="","",COUNTIFS(Landscape!$C$2:$C$601,$D120,Landscape!$B$2:$B$601,"Domain to application"))</f>
        <v/>
      </c>
      <c r="M120" s="17">
        <f>IF(A120="","",COUNTIFS(Landscape!$C$2:$C$601,$D120,Landscape!$B$2:$B$601,"Application to object"))</f>
        <v/>
      </c>
      <c r="N120" s="17">
        <f>IF(A120="","",COUNTIFS(Landscape!$C$2:$C$601,$D120,Landscape!$B$2:$B$601,"Application to interface"))</f>
        <v/>
      </c>
      <c r="O120" s="17">
        <f>IF(A120="","",COUNTIFS(Landscape!$C$2:$C$601,$D120,Landscape!$B$2:$B$601,"Application to component"))</f>
        <v/>
      </c>
      <c r="P120" s="17">
        <f>IF(A120="","",COUNTIFS(Landscape!$C$2:$C$601,$D120,Landscape!$B$2:$B$601,"Application to market"))</f>
        <v/>
      </c>
      <c r="Q120" s="17">
        <f>IF(A120="","",COUNTIF(Constraints!$B$2:$B$201,$A120))</f>
        <v/>
      </c>
      <c r="R120" s="18">
        <f>IF(A120="","",IF(Q120&gt;Settings!$B$4,"OVER","ok"))</f>
        <v/>
      </c>
    </row>
    <row r="121">
      <c r="A121" s="19" t="n"/>
      <c r="B121" s="19" t="n"/>
      <c r="C121" s="19" t="n"/>
      <c r="D121" s="19" t="n"/>
      <c r="E121" s="19" t="n"/>
      <c r="F121" s="19" t="n"/>
      <c r="G121" s="19" t="n"/>
      <c r="H121" s="19" t="n"/>
      <c r="I121" s="19" t="n"/>
      <c r="J121" s="16">
        <f>IF(OR(C121="",I121=""),0,I121-C121)</f>
        <v/>
      </c>
      <c r="K121" s="13">
        <f>IF(A121="","",IF(J121&lt;=Settings!$B$5,"yes","LATE"))</f>
        <v/>
      </c>
      <c r="L121" s="17">
        <f>IF(A121="","",COUNTIFS(Landscape!$C$2:$C$601,$D121,Landscape!$B$2:$B$601,"Domain to application"))</f>
        <v/>
      </c>
      <c r="M121" s="17">
        <f>IF(A121="","",COUNTIFS(Landscape!$C$2:$C$601,$D121,Landscape!$B$2:$B$601,"Application to object"))</f>
        <v/>
      </c>
      <c r="N121" s="17">
        <f>IF(A121="","",COUNTIFS(Landscape!$C$2:$C$601,$D121,Landscape!$B$2:$B$601,"Application to interface"))</f>
        <v/>
      </c>
      <c r="O121" s="17">
        <f>IF(A121="","",COUNTIFS(Landscape!$C$2:$C$601,$D121,Landscape!$B$2:$B$601,"Application to component"))</f>
        <v/>
      </c>
      <c r="P121" s="17">
        <f>IF(A121="","",COUNTIFS(Landscape!$C$2:$C$601,$D121,Landscape!$B$2:$B$601,"Application to market"))</f>
        <v/>
      </c>
      <c r="Q121" s="17">
        <f>IF(A121="","",COUNTIF(Constraints!$B$2:$B$201,$A121))</f>
        <v/>
      </c>
      <c r="R121" s="18">
        <f>IF(A121="","",IF(Q121&gt;Settings!$B$4,"OVER","ok"))</f>
        <v/>
      </c>
    </row>
    <row r="123">
      <c r="A123" s="8" t="inlineStr">
        <is>
          <t>Columns L to P are the cascade: counts only. The names come from filtering Landscape by the primary domain - and the names are what the impact list is for.</t>
        </is>
      </c>
    </row>
  </sheetData>
  <autoFilter ref="A1:R121"/>
  <conditionalFormatting sqref="K2:K121">
    <cfRule type="cellIs" priority="1" operator="equal" dxfId="0">
      <formula>"LATE"</formula>
    </cfRule>
    <cfRule type="cellIs" priority="2" operator="equal" dxfId="1">
      <formula>"yes"</formula>
    </cfRule>
  </conditionalFormatting>
  <conditionalFormatting sqref="R2:R121">
    <cfRule type="cellIs" priority="3" operator="equal" dxfId="2">
      <formula>"OVER"</formula>
    </cfRule>
  </conditionalFormatting>
  <dataValidations count="2">
    <dataValidation sqref="F2:F121" showDropDown="0" showInputMessage="0" showErrorMessage="0" allowBlank="1" type="list">
      <formula1>=Lists!$A$1:$A$4</formula1>
    </dataValidation>
    <dataValidation sqref="G2:G121" showDropDown="0" showInputMessage="0" showErrorMessage="0" allowBlank="1" type="list">
      <formula1>=Lists!$B$1:$B$5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40" customWidth="1" min="3" max="3"/>
    <col width="44" customWidth="1" min="4" max="4"/>
    <col width="18" customWidth="1" min="5" max="5"/>
    <col width="14" customWidth="1" min="6" max="6"/>
    <col width="50" customWidth="1" min="7" max="7"/>
    <col width="16" customWidth="1" min="8" max="8"/>
    <col width="12" customWidth="1" min="9" max="9"/>
    <col width="13" customWidth="1" min="10" max="10"/>
    <col width="26" customWidth="1" min="11" max="11"/>
  </cols>
  <sheetData>
    <row r="1">
      <c r="A1" s="12" t="inlineStr">
        <is>
          <t>Con ID</t>
        </is>
      </c>
      <c r="B1" s="12" t="inlineStr">
        <is>
          <t>Prj ID</t>
        </is>
      </c>
      <c r="C1" s="12" t="inlineStr">
        <is>
          <t>Statement</t>
        </is>
      </c>
      <c r="D1" s="12" t="inlineStr">
        <is>
          <t>Reason - for this organization</t>
        </is>
      </c>
      <c r="E1" s="12" t="inlineStr">
        <is>
          <t>Source type</t>
        </is>
      </c>
      <c r="F1" s="12" t="inlineStr">
        <is>
          <t>Source ref</t>
        </is>
      </c>
      <c r="G1" s="12" t="inlineStr">
        <is>
          <t>Test - answerable alone in five minutes</t>
        </is>
      </c>
      <c r="H1" s="12" t="inlineStr">
        <is>
          <t>Owner</t>
        </is>
      </c>
      <c r="I1" s="12" t="inlineStr">
        <is>
          <t>Expiry</t>
        </is>
      </c>
      <c r="J1" s="12" t="inlineStr">
        <is>
          <t>Days to expiry</t>
        </is>
      </c>
      <c r="K1" s="12" t="inlineStr">
        <is>
          <t>Closure status</t>
        </is>
      </c>
    </row>
    <row r="2">
      <c r="A2" s="13" t="inlineStr">
        <is>
          <t>CON-01</t>
        </is>
      </c>
      <c r="B2" s="13" t="inlineStr">
        <is>
          <t>PRJ-0418</t>
        </is>
      </c>
      <c r="C2" s="13" t="inlineStr">
        <is>
          <t>Every interface to the core uses a released API or event</t>
        </is>
      </c>
      <c r="D2" s="13" t="inlineStr">
        <is>
          <t>Two direct table reads built in 2022 broke the last upgrade and cost a weekend of unplanned work</t>
        </is>
      </c>
      <c r="E2" s="13" t="inlineStr">
        <is>
          <t>Integration standard</t>
        </is>
      </c>
      <c r="F2" s="13" t="inlineStr">
        <is>
          <t>Rule 1</t>
        </is>
      </c>
      <c r="G2" s="13" t="inlineStr">
        <is>
          <t>Name the API or event for each integration point in your design. If you cannot name one, raise it now</t>
        </is>
      </c>
      <c r="H2" s="13" t="inlineStr">
        <is>
          <t>Named architect</t>
        </is>
      </c>
      <c r="I2" s="15" t="n">
        <v>46568</v>
      </c>
      <c r="J2" s="13">
        <f>IF(I2="","",I2-Settings!$B$2)</f>
        <v/>
      </c>
      <c r="K2" s="13" t="inlineStr">
        <is>
          <t>Open</t>
        </is>
      </c>
    </row>
    <row r="3">
      <c r="A3" s="13" t="inlineStr">
        <is>
          <t>CON-02</t>
        </is>
      </c>
      <c r="B3" s="13" t="inlineStr">
        <is>
          <t>PRJ-0418</t>
        </is>
      </c>
      <c r="C3" s="13" t="inlineStr">
        <is>
          <t>Supplier remains mastered by the core; this solution reads and proposes, it does not write</t>
        </is>
      </c>
      <c r="D3" s="13" t="inlineStr">
        <is>
          <t>Three of last year's four data incidents came from two systems believing they owned one object</t>
        </is>
      </c>
      <c r="E3" s="13" t="inlineStr">
        <is>
          <t>Principle</t>
        </is>
      </c>
      <c r="F3" s="13" t="inlineStr">
        <is>
          <t>P-01</t>
        </is>
      </c>
      <c r="G3" s="13" t="inlineStr">
        <is>
          <t>List every write in your design and name the object and its master. Any write to supplier is a deviation</t>
        </is>
      </c>
      <c r="H3" s="13" t="inlineStr">
        <is>
          <t>Named architect</t>
        </is>
      </c>
      <c r="I3" s="13" t="n"/>
      <c r="J3" s="13">
        <f>IF(I3="","",I3-Settings!$B$2)</f>
        <v/>
      </c>
      <c r="K3" s="13" t="inlineStr">
        <is>
          <t>Open</t>
        </is>
      </c>
    </row>
    <row r="4">
      <c r="A4" s="13" t="inlineStr">
        <is>
          <t>CON-03</t>
        </is>
      </c>
      <c r="B4" s="13" t="inlineStr">
        <is>
          <t>PRJ-0418</t>
        </is>
      </c>
      <c r="C4" s="13" t="inlineStr">
        <is>
          <t>Market D data classified as personal stays in-country</t>
        </is>
      </c>
      <c r="D4" s="13" t="inlineStr">
        <is>
          <t>Statutory. Named in the residency register for market D</t>
        </is>
      </c>
      <c r="E4" s="13" t="inlineStr">
        <is>
          <t>Law or regulation</t>
        </is>
      </c>
      <c r="F4" s="13" t="inlineStr">
        <is>
          <t>Residency register</t>
        </is>
      </c>
      <c r="G4" s="13" t="inlineStr">
        <is>
          <t>Name the component and region for every store of personal data in your design</t>
        </is>
      </c>
      <c r="H4" s="13" t="inlineStr">
        <is>
          <t>Compliance lead</t>
        </is>
      </c>
      <c r="I4" s="13" t="n"/>
      <c r="J4" s="13">
        <f>IF(I4="","",I4-Settings!$B$2)</f>
        <v/>
      </c>
      <c r="K4" s="13" t="inlineStr">
        <is>
          <t>Met</t>
        </is>
      </c>
    </row>
    <row r="5">
      <c r="A5" s="13" t="inlineStr">
        <is>
          <t>CON-04</t>
        </is>
      </c>
      <c r="B5" s="13" t="inlineStr">
        <is>
          <t>PRJ-0418</t>
        </is>
      </c>
      <c r="C5" s="13" t="inlineStr">
        <is>
          <t>Use the existing onboarding workflow pattern rather than a new one</t>
        </is>
      </c>
      <c r="D5" s="13" t="inlineStr">
        <is>
          <t>The same workflow has been built three times in two years</t>
        </is>
      </c>
      <c r="E5" s="13" t="inlineStr">
        <is>
          <t>Pattern</t>
        </is>
      </c>
      <c r="F5" s="13" t="inlineStr">
        <is>
          <t>PAT-07</t>
        </is>
      </c>
      <c r="G5" s="13" t="inlineStr">
        <is>
          <t>Point at the pattern reference in your design, or state which of its constraints does not hold here</t>
        </is>
      </c>
      <c r="H5" s="13" t="inlineStr">
        <is>
          <t>Named architect</t>
        </is>
      </c>
      <c r="I5" s="15" t="n">
        <v>46568</v>
      </c>
      <c r="J5" s="13">
        <f>IF(I5="","",I5-Settings!$B$2)</f>
        <v/>
      </c>
      <c r="K5" s="13" t="inlineStr">
        <is>
          <t>Open</t>
        </is>
      </c>
    </row>
    <row r="6">
      <c r="A6" s="13" t="inlineStr">
        <is>
          <t>CON-05</t>
        </is>
      </c>
      <c r="B6" s="13" t="inlineStr">
        <is>
          <t>PRJ-0418</t>
        </is>
      </c>
      <c r="C6" s="13" t="inlineStr">
        <is>
          <t>Close exception EXC-09 rather than extending it</t>
        </is>
      </c>
      <c r="D6" s="13" t="inlineStr">
        <is>
          <t>It was registered as temporary in 2024 and this project is the reason it can end</t>
        </is>
      </c>
      <c r="E6" s="13" t="inlineStr">
        <is>
          <t>Board decision</t>
        </is>
      </c>
      <c r="F6" s="13" t="inlineStr">
        <is>
          <t>ADR-071</t>
        </is>
      </c>
      <c r="G6" s="13" t="inlineStr">
        <is>
          <t>Confirm at closure that EXC-09 is closed, not renewed</t>
        </is>
      </c>
      <c r="H6" s="13" t="inlineStr">
        <is>
          <t>Named architect</t>
        </is>
      </c>
      <c r="I6" s="15" t="n">
        <v>46387</v>
      </c>
      <c r="J6" s="13">
        <f>IF(I6="","",I6-Settings!$B$2)</f>
        <v/>
      </c>
      <c r="K6" s="13" t="inlineStr">
        <is>
          <t>Open</t>
        </is>
      </c>
    </row>
    <row r="7">
      <c r="A7" s="13" t="inlineStr">
        <is>
          <t>CON-06</t>
        </is>
      </c>
      <c r="B7" s="13" t="inlineStr">
        <is>
          <t>PRJ-0418</t>
        </is>
      </c>
      <c r="C7" s="13" t="inlineStr">
        <is>
          <t>No new local supplier store in any market</t>
        </is>
      </c>
      <c r="D7" s="13" t="inlineStr">
        <is>
          <t>Domain target direction; two registers already exist under contract and no more are wanted</t>
        </is>
      </c>
      <c r="E7" s="13" t="inlineStr">
        <is>
          <t>Principle</t>
        </is>
      </c>
      <c r="F7" s="13" t="inlineStr">
        <is>
          <t>P-03</t>
        </is>
      </c>
      <c r="G7" s="13" t="inlineStr">
        <is>
          <t>Does this design create a persistent supplier record anywhere outside the core or the two registered stores?</t>
        </is>
      </c>
      <c r="H7" s="13" t="inlineStr">
        <is>
          <t>Domain architect</t>
        </is>
      </c>
      <c r="I7" s="13" t="n"/>
      <c r="J7" s="13">
        <f>IF(I7="","",I7-Settings!$B$2)</f>
        <v/>
      </c>
      <c r="K7" s="13" t="inlineStr">
        <is>
          <t>Open</t>
        </is>
      </c>
    </row>
    <row r="8">
      <c r="A8" s="13" t="inlineStr">
        <is>
          <t>CON-07</t>
        </is>
      </c>
      <c r="B8" s="13" t="inlineStr">
        <is>
          <t>PRJ-0426</t>
        </is>
      </c>
      <c r="C8" s="13" t="inlineStr">
        <is>
          <t>The product operates against externally mastered material data</t>
        </is>
      </c>
      <c r="D8" s="13" t="inlineStr">
        <is>
          <t>Buying a system that insists on mastering material would reopen a settled decision</t>
        </is>
      </c>
      <c r="E8" s="13" t="inlineStr">
        <is>
          <t>Principle</t>
        </is>
      </c>
      <c r="F8" s="13" t="inlineStr">
        <is>
          <t>P-01</t>
        </is>
      </c>
      <c r="G8" s="13" t="inlineStr">
        <is>
          <t>Demonstrated live against our test instance, not asserted in a questionnaire</t>
        </is>
      </c>
      <c r="H8" s="13" t="inlineStr">
        <is>
          <t>Named architect</t>
        </is>
      </c>
      <c r="I8" s="13" t="n"/>
      <c r="J8" s="13">
        <f>IF(I8="","",I8-Settings!$B$2)</f>
        <v/>
      </c>
      <c r="K8" s="13" t="inlineStr">
        <is>
          <t>Open</t>
        </is>
      </c>
    </row>
    <row r="9">
      <c r="A9" s="13" t="inlineStr">
        <is>
          <t>CON-08</t>
        </is>
      </c>
      <c r="B9" s="13" t="inlineStr">
        <is>
          <t>PRJ-0426</t>
        </is>
      </c>
      <c r="C9" s="13" t="inlineStr">
        <is>
          <t>Data for this market remains in-country in the vendor's hosting</t>
        </is>
      </c>
      <c r="D9" s="13" t="inlineStr">
        <is>
          <t>Statutory</t>
        </is>
      </c>
      <c r="E9" s="13" t="inlineStr">
        <is>
          <t>Law or regulation</t>
        </is>
      </c>
      <c r="F9" s="13" t="inlineStr">
        <is>
          <t>Residency register</t>
        </is>
      </c>
      <c r="G9" s="13" t="inlineStr">
        <is>
          <t>Named region in the contract, not in the proposal</t>
        </is>
      </c>
      <c r="H9" s="13" t="inlineStr">
        <is>
          <t>Compliance lead</t>
        </is>
      </c>
      <c r="I9" s="13" t="n"/>
      <c r="J9" s="13">
        <f>IF(I9="","",I9-Settings!$B$2)</f>
        <v/>
      </c>
      <c r="K9" s="13" t="inlineStr">
        <is>
          <t>Open</t>
        </is>
      </c>
    </row>
    <row r="10">
      <c r="A10" s="13" t="inlineStr">
        <is>
          <t>CON-09</t>
        </is>
      </c>
      <c r="B10" s="13" t="inlineStr">
        <is>
          <t>PRJ-0426</t>
        </is>
      </c>
      <c r="C10" s="13" t="inlineStr">
        <is>
          <t>Exit provision: full data extract in a documented format within 30 days of termination</t>
        </is>
      </c>
      <c r="D10" s="13" t="inlineStr">
        <is>
          <t>A previous vendor exit took eleven months and cost more than a year of licence fees</t>
        </is>
      </c>
      <c r="E10" s="13" t="inlineStr">
        <is>
          <t>Board decision</t>
        </is>
      </c>
      <c r="F10" s="13" t="inlineStr">
        <is>
          <t>ADR-055</t>
        </is>
      </c>
      <c r="G10" s="13" t="inlineStr">
        <is>
          <t>Clause present in the signed contract</t>
        </is>
      </c>
      <c r="H10" s="13" t="inlineStr">
        <is>
          <t>Procurement</t>
        </is>
      </c>
      <c r="I10" s="13" t="n"/>
      <c r="J10" s="13">
        <f>IF(I10="","",I10-Settings!$B$2)</f>
        <v/>
      </c>
      <c r="K10" s="13" t="inlineStr">
        <is>
          <t>Open</t>
        </is>
      </c>
    </row>
    <row r="11">
      <c r="A11" s="13" t="inlineStr">
        <is>
          <t>CON-10</t>
        </is>
      </c>
      <c r="B11" s="13" t="inlineStr">
        <is>
          <t>PRJ-0430</t>
        </is>
      </c>
      <c r="C11" s="13" t="inlineStr">
        <is>
          <t>Price mastership moves to the pricing service with a dual-write window that expires</t>
        </is>
      </c>
      <c r="D11" s="13" t="inlineStr">
        <is>
          <t>A window with no written end date once ran for two years</t>
        </is>
      </c>
      <c r="E11" s="13" t="inlineStr">
        <is>
          <t>Board decision</t>
        </is>
      </c>
      <c r="F11" s="13" t="inlineStr">
        <is>
          <t>ADR-092</t>
        </is>
      </c>
      <c r="G11" s="13" t="inlineStr">
        <is>
          <t>Exception registered with an expiry date before cutover</t>
        </is>
      </c>
      <c r="H11" s="13" t="inlineStr">
        <is>
          <t>Named architect</t>
        </is>
      </c>
      <c r="I11" s="15" t="n">
        <v>46380</v>
      </c>
      <c r="J11" s="13">
        <f>IF(I11="","",I11-Settings!$B$2)</f>
        <v/>
      </c>
      <c r="K11" s="13" t="inlineStr">
        <is>
          <t>Open</t>
        </is>
      </c>
    </row>
    <row r="12">
      <c r="A12" s="13" t="inlineStr">
        <is>
          <t>CON-11</t>
        </is>
      </c>
      <c r="B12" s="13" t="inlineStr">
        <is>
          <t>PRJ-0421</t>
        </is>
      </c>
      <c r="C12" s="13" t="inlineStr">
        <is>
          <t>Consent is read from the customer master, never captured a second time</t>
        </is>
      </c>
      <c r="D12" s="13" t="inlineStr">
        <is>
          <t>Two consent records for one person is a regulatory finding waiting to happen</t>
        </is>
      </c>
      <c r="E12" s="13" t="inlineStr">
        <is>
          <t>Principle</t>
        </is>
      </c>
      <c r="F12" s="13" t="inlineStr">
        <is>
          <t>P-01</t>
        </is>
      </c>
      <c r="G12" s="13" t="inlineStr">
        <is>
          <t>Name the source of every consent value shown or stored</t>
        </is>
      </c>
      <c r="H12" s="13" t="inlineStr">
        <is>
          <t>Named architect</t>
        </is>
      </c>
      <c r="I12" s="13" t="n"/>
      <c r="J12" s="13">
        <f>IF(I12="","",I12-Settings!$B$2)</f>
        <v/>
      </c>
      <c r="K12" s="13" t="inlineStr">
        <is>
          <t>Deviated - exception registered</t>
        </is>
      </c>
    </row>
    <row r="13">
      <c r="A13" s="19" t="n"/>
      <c r="B13" s="19" t="n"/>
      <c r="C13" s="19" t="n"/>
      <c r="D13" s="19" t="n"/>
      <c r="E13" s="19" t="n"/>
      <c r="F13" s="19" t="n"/>
      <c r="G13" s="19" t="n"/>
      <c r="H13" s="19" t="n"/>
      <c r="I13" s="19" t="n"/>
      <c r="J13" s="17">
        <f>IF(I13="","",I13-Settings!$B$2)</f>
        <v/>
      </c>
      <c r="K13" s="19" t="n"/>
    </row>
    <row r="14">
      <c r="A14" s="19" t="n"/>
      <c r="B14" s="19" t="n"/>
      <c r="C14" s="19" t="n"/>
      <c r="D14" s="19" t="n"/>
      <c r="E14" s="19" t="n"/>
      <c r="F14" s="19" t="n"/>
      <c r="G14" s="19" t="n"/>
      <c r="H14" s="19" t="n"/>
      <c r="I14" s="19" t="n"/>
      <c r="J14" s="17">
        <f>IF(I14="","",I14-Settings!$B$2)</f>
        <v/>
      </c>
      <c r="K14" s="19" t="n"/>
    </row>
    <row r="15">
      <c r="A15" s="19" t="n"/>
      <c r="B15" s="19" t="n"/>
      <c r="C15" s="19" t="n"/>
      <c r="D15" s="19" t="n"/>
      <c r="E15" s="19" t="n"/>
      <c r="F15" s="19" t="n"/>
      <c r="G15" s="19" t="n"/>
      <c r="H15" s="19" t="n"/>
      <c r="I15" s="19" t="n"/>
      <c r="J15" s="17">
        <f>IF(I15="","",I15-Settings!$B$2)</f>
        <v/>
      </c>
      <c r="K15" s="19" t="n"/>
    </row>
    <row r="16">
      <c r="A16" s="19" t="n"/>
      <c r="B16" s="19" t="n"/>
      <c r="C16" s="19" t="n"/>
      <c r="D16" s="19" t="n"/>
      <c r="E16" s="19" t="n"/>
      <c r="F16" s="19" t="n"/>
      <c r="G16" s="19" t="n"/>
      <c r="H16" s="19" t="n"/>
      <c r="I16" s="19" t="n"/>
      <c r="J16" s="17">
        <f>IF(I16="","",I16-Settings!$B$2)</f>
        <v/>
      </c>
      <c r="K16" s="19" t="n"/>
    </row>
    <row r="17">
      <c r="A17" s="19" t="n"/>
      <c r="B17" s="19" t="n"/>
      <c r="C17" s="19" t="n"/>
      <c r="D17" s="19" t="n"/>
      <c r="E17" s="19" t="n"/>
      <c r="F17" s="19" t="n"/>
      <c r="G17" s="19" t="n"/>
      <c r="H17" s="19" t="n"/>
      <c r="I17" s="19" t="n"/>
      <c r="J17" s="17">
        <f>IF(I17="","",I17-Settings!$B$2)</f>
        <v/>
      </c>
      <c r="K17" s="19" t="n"/>
    </row>
    <row r="18">
      <c r="A18" s="19" t="n"/>
      <c r="B18" s="19" t="n"/>
      <c r="C18" s="19" t="n"/>
      <c r="D18" s="19" t="n"/>
      <c r="E18" s="19" t="n"/>
      <c r="F18" s="19" t="n"/>
      <c r="G18" s="19" t="n"/>
      <c r="H18" s="19" t="n"/>
      <c r="I18" s="19" t="n"/>
      <c r="J18" s="17">
        <f>IF(I18="","",I18-Settings!$B$2)</f>
        <v/>
      </c>
      <c r="K18" s="19" t="n"/>
    </row>
    <row r="19">
      <c r="A19" s="19" t="n"/>
      <c r="B19" s="19" t="n"/>
      <c r="C19" s="19" t="n"/>
      <c r="D19" s="19" t="n"/>
      <c r="E19" s="19" t="n"/>
      <c r="F19" s="19" t="n"/>
      <c r="G19" s="19" t="n"/>
      <c r="H19" s="19" t="n"/>
      <c r="I19" s="19" t="n"/>
      <c r="J19" s="17">
        <f>IF(I19="","",I19-Settings!$B$2)</f>
        <v/>
      </c>
      <c r="K19" s="19" t="n"/>
    </row>
    <row r="20">
      <c r="A20" s="19" t="n"/>
      <c r="B20" s="19" t="n"/>
      <c r="C20" s="19" t="n"/>
      <c r="D20" s="19" t="n"/>
      <c r="E20" s="19" t="n"/>
      <c r="F20" s="19" t="n"/>
      <c r="G20" s="19" t="n"/>
      <c r="H20" s="19" t="n"/>
      <c r="I20" s="19" t="n"/>
      <c r="J20" s="17">
        <f>IF(I20="","",I20-Settings!$B$2)</f>
        <v/>
      </c>
      <c r="K20" s="19" t="n"/>
    </row>
    <row r="21">
      <c r="A21" s="19" t="n"/>
      <c r="B21" s="19" t="n"/>
      <c r="C21" s="19" t="n"/>
      <c r="D21" s="19" t="n"/>
      <c r="E21" s="19" t="n"/>
      <c r="F21" s="19" t="n"/>
      <c r="G21" s="19" t="n"/>
      <c r="H21" s="19" t="n"/>
      <c r="I21" s="19" t="n"/>
      <c r="J21" s="17">
        <f>IF(I21="","",I21-Settings!$B$2)</f>
        <v/>
      </c>
      <c r="K21" s="19" t="n"/>
    </row>
    <row r="22">
      <c r="A22" s="19" t="n"/>
      <c r="B22" s="19" t="n"/>
      <c r="C22" s="19" t="n"/>
      <c r="D22" s="19" t="n"/>
      <c r="E22" s="19" t="n"/>
      <c r="F22" s="19" t="n"/>
      <c r="G22" s="19" t="n"/>
      <c r="H22" s="19" t="n"/>
      <c r="I22" s="19" t="n"/>
      <c r="J22" s="17">
        <f>IF(I22="","",I22-Settings!$B$2)</f>
        <v/>
      </c>
      <c r="K22" s="19" t="n"/>
    </row>
    <row r="23">
      <c r="A23" s="19" t="n"/>
      <c r="B23" s="19" t="n"/>
      <c r="C23" s="19" t="n"/>
      <c r="D23" s="19" t="n"/>
      <c r="E23" s="19" t="n"/>
      <c r="F23" s="19" t="n"/>
      <c r="G23" s="19" t="n"/>
      <c r="H23" s="19" t="n"/>
      <c r="I23" s="19" t="n"/>
      <c r="J23" s="17">
        <f>IF(I23="","",I23-Settings!$B$2)</f>
        <v/>
      </c>
      <c r="K23" s="19" t="n"/>
    </row>
    <row r="24">
      <c r="A24" s="19" t="n"/>
      <c r="B24" s="19" t="n"/>
      <c r="C24" s="19" t="n"/>
      <c r="D24" s="19" t="n"/>
      <c r="E24" s="19" t="n"/>
      <c r="F24" s="19" t="n"/>
      <c r="G24" s="19" t="n"/>
      <c r="H24" s="19" t="n"/>
      <c r="I24" s="19" t="n"/>
      <c r="J24" s="17">
        <f>IF(I24="","",I24-Settings!$B$2)</f>
        <v/>
      </c>
      <c r="K24" s="19" t="n"/>
    </row>
    <row r="25">
      <c r="A25" s="19" t="n"/>
      <c r="B25" s="19" t="n"/>
      <c r="C25" s="19" t="n"/>
      <c r="D25" s="19" t="n"/>
      <c r="E25" s="19" t="n"/>
      <c r="F25" s="19" t="n"/>
      <c r="G25" s="19" t="n"/>
      <c r="H25" s="19" t="n"/>
      <c r="I25" s="19" t="n"/>
      <c r="J25" s="17">
        <f>IF(I25="","",I25-Settings!$B$2)</f>
        <v/>
      </c>
      <c r="K25" s="19" t="n"/>
    </row>
    <row r="26">
      <c r="A26" s="19" t="n"/>
      <c r="B26" s="19" t="n"/>
      <c r="C26" s="19" t="n"/>
      <c r="D26" s="19" t="n"/>
      <c r="E26" s="19" t="n"/>
      <c r="F26" s="19" t="n"/>
      <c r="G26" s="19" t="n"/>
      <c r="H26" s="19" t="n"/>
      <c r="I26" s="19" t="n"/>
      <c r="J26" s="17">
        <f>IF(I26="","",I26-Settings!$B$2)</f>
        <v/>
      </c>
      <c r="K26" s="19" t="n"/>
    </row>
    <row r="27">
      <c r="A27" s="19" t="n"/>
      <c r="B27" s="19" t="n"/>
      <c r="C27" s="19" t="n"/>
      <c r="D27" s="19" t="n"/>
      <c r="E27" s="19" t="n"/>
      <c r="F27" s="19" t="n"/>
      <c r="G27" s="19" t="n"/>
      <c r="H27" s="19" t="n"/>
      <c r="I27" s="19" t="n"/>
      <c r="J27" s="17">
        <f>IF(I27="","",I27-Settings!$B$2)</f>
        <v/>
      </c>
      <c r="K27" s="19" t="n"/>
    </row>
    <row r="28">
      <c r="A28" s="19" t="n"/>
      <c r="B28" s="19" t="n"/>
      <c r="C28" s="19" t="n"/>
      <c r="D28" s="19" t="n"/>
      <c r="E28" s="19" t="n"/>
      <c r="F28" s="19" t="n"/>
      <c r="G28" s="19" t="n"/>
      <c r="H28" s="19" t="n"/>
      <c r="I28" s="19" t="n"/>
      <c r="J28" s="17">
        <f>IF(I28="","",I28-Settings!$B$2)</f>
        <v/>
      </c>
      <c r="K28" s="19" t="n"/>
    </row>
    <row r="29">
      <c r="A29" s="19" t="n"/>
      <c r="B29" s="19" t="n"/>
      <c r="C29" s="19" t="n"/>
      <c r="D29" s="19" t="n"/>
      <c r="E29" s="19" t="n"/>
      <c r="F29" s="19" t="n"/>
      <c r="G29" s="19" t="n"/>
      <c r="H29" s="19" t="n"/>
      <c r="I29" s="19" t="n"/>
      <c r="J29" s="17">
        <f>IF(I29="","",I29-Settings!$B$2)</f>
        <v/>
      </c>
      <c r="K29" s="19" t="n"/>
    </row>
    <row r="30">
      <c r="A30" s="19" t="n"/>
      <c r="B30" s="19" t="n"/>
      <c r="C30" s="19" t="n"/>
      <c r="D30" s="19" t="n"/>
      <c r="E30" s="19" t="n"/>
      <c r="F30" s="19" t="n"/>
      <c r="G30" s="19" t="n"/>
      <c r="H30" s="19" t="n"/>
      <c r="I30" s="19" t="n"/>
      <c r="J30" s="17">
        <f>IF(I30="","",I30-Settings!$B$2)</f>
        <v/>
      </c>
      <c r="K30" s="19" t="n"/>
    </row>
    <row r="31">
      <c r="A31" s="19" t="n"/>
      <c r="B31" s="19" t="n"/>
      <c r="C31" s="19" t="n"/>
      <c r="D31" s="19" t="n"/>
      <c r="E31" s="19" t="n"/>
      <c r="F31" s="19" t="n"/>
      <c r="G31" s="19" t="n"/>
      <c r="H31" s="19" t="n"/>
      <c r="I31" s="19" t="n"/>
      <c r="J31" s="17">
        <f>IF(I31="","",I31-Settings!$B$2)</f>
        <v/>
      </c>
      <c r="K31" s="19" t="n"/>
    </row>
    <row r="32">
      <c r="A32" s="19" t="n"/>
      <c r="B32" s="19" t="n"/>
      <c r="C32" s="19" t="n"/>
      <c r="D32" s="19" t="n"/>
      <c r="E32" s="19" t="n"/>
      <c r="F32" s="19" t="n"/>
      <c r="G32" s="19" t="n"/>
      <c r="H32" s="19" t="n"/>
      <c r="I32" s="19" t="n"/>
      <c r="J32" s="17">
        <f>IF(I32="","",I32-Settings!$B$2)</f>
        <v/>
      </c>
      <c r="K32" s="19" t="n"/>
    </row>
    <row r="33">
      <c r="A33" s="19" t="n"/>
      <c r="B33" s="19" t="n"/>
      <c r="C33" s="19" t="n"/>
      <c r="D33" s="19" t="n"/>
      <c r="E33" s="19" t="n"/>
      <c r="F33" s="19" t="n"/>
      <c r="G33" s="19" t="n"/>
      <c r="H33" s="19" t="n"/>
      <c r="I33" s="19" t="n"/>
      <c r="J33" s="17">
        <f>IF(I33="","",I33-Settings!$B$2)</f>
        <v/>
      </c>
      <c r="K33" s="19" t="n"/>
    </row>
    <row r="34">
      <c r="A34" s="19" t="n"/>
      <c r="B34" s="19" t="n"/>
      <c r="C34" s="19" t="n"/>
      <c r="D34" s="19" t="n"/>
      <c r="E34" s="19" t="n"/>
      <c r="F34" s="19" t="n"/>
      <c r="G34" s="19" t="n"/>
      <c r="H34" s="19" t="n"/>
      <c r="I34" s="19" t="n"/>
      <c r="J34" s="17">
        <f>IF(I34="","",I34-Settings!$B$2)</f>
        <v/>
      </c>
      <c r="K34" s="19" t="n"/>
    </row>
    <row r="35">
      <c r="A35" s="19" t="n"/>
      <c r="B35" s="19" t="n"/>
      <c r="C35" s="19" t="n"/>
      <c r="D35" s="19" t="n"/>
      <c r="E35" s="19" t="n"/>
      <c r="F35" s="19" t="n"/>
      <c r="G35" s="19" t="n"/>
      <c r="H35" s="19" t="n"/>
      <c r="I35" s="19" t="n"/>
      <c r="J35" s="17">
        <f>IF(I35="","",I35-Settings!$B$2)</f>
        <v/>
      </c>
      <c r="K35" s="19" t="n"/>
    </row>
    <row r="36">
      <c r="A36" s="19" t="n"/>
      <c r="B36" s="19" t="n"/>
      <c r="C36" s="19" t="n"/>
      <c r="D36" s="19" t="n"/>
      <c r="E36" s="19" t="n"/>
      <c r="F36" s="19" t="n"/>
      <c r="G36" s="19" t="n"/>
      <c r="H36" s="19" t="n"/>
      <c r="I36" s="19" t="n"/>
      <c r="J36" s="17">
        <f>IF(I36="","",I36-Settings!$B$2)</f>
        <v/>
      </c>
      <c r="K36" s="19" t="n"/>
    </row>
    <row r="37">
      <c r="A37" s="19" t="n"/>
      <c r="B37" s="19" t="n"/>
      <c r="C37" s="19" t="n"/>
      <c r="D37" s="19" t="n"/>
      <c r="E37" s="19" t="n"/>
      <c r="F37" s="19" t="n"/>
      <c r="G37" s="19" t="n"/>
      <c r="H37" s="19" t="n"/>
      <c r="I37" s="19" t="n"/>
      <c r="J37" s="17">
        <f>IF(I37="","",I37-Settings!$B$2)</f>
        <v/>
      </c>
      <c r="K37" s="19" t="n"/>
    </row>
    <row r="38">
      <c r="A38" s="19" t="n"/>
      <c r="B38" s="19" t="n"/>
      <c r="C38" s="19" t="n"/>
      <c r="D38" s="19" t="n"/>
      <c r="E38" s="19" t="n"/>
      <c r="F38" s="19" t="n"/>
      <c r="G38" s="19" t="n"/>
      <c r="H38" s="19" t="n"/>
      <c r="I38" s="19" t="n"/>
      <c r="J38" s="17">
        <f>IF(I38="","",I38-Settings!$B$2)</f>
        <v/>
      </c>
      <c r="K38" s="19" t="n"/>
    </row>
    <row r="39">
      <c r="A39" s="19" t="n"/>
      <c r="B39" s="19" t="n"/>
      <c r="C39" s="19" t="n"/>
      <c r="D39" s="19" t="n"/>
      <c r="E39" s="19" t="n"/>
      <c r="F39" s="19" t="n"/>
      <c r="G39" s="19" t="n"/>
      <c r="H39" s="19" t="n"/>
      <c r="I39" s="19" t="n"/>
      <c r="J39" s="17">
        <f>IF(I39="","",I39-Settings!$B$2)</f>
        <v/>
      </c>
      <c r="K39" s="19" t="n"/>
    </row>
    <row r="40">
      <c r="A40" s="19" t="n"/>
      <c r="B40" s="19" t="n"/>
      <c r="C40" s="19" t="n"/>
      <c r="D40" s="19" t="n"/>
      <c r="E40" s="19" t="n"/>
      <c r="F40" s="19" t="n"/>
      <c r="G40" s="19" t="n"/>
      <c r="H40" s="19" t="n"/>
      <c r="I40" s="19" t="n"/>
      <c r="J40" s="17">
        <f>IF(I40="","",I40-Settings!$B$2)</f>
        <v/>
      </c>
      <c r="K40" s="19" t="n"/>
    </row>
    <row r="41">
      <c r="A41" s="19" t="n"/>
      <c r="B41" s="19" t="n"/>
      <c r="C41" s="19" t="n"/>
      <c r="D41" s="19" t="n"/>
      <c r="E41" s="19" t="n"/>
      <c r="F41" s="19" t="n"/>
      <c r="G41" s="19" t="n"/>
      <c r="H41" s="19" t="n"/>
      <c r="I41" s="19" t="n"/>
      <c r="J41" s="17">
        <f>IF(I41="","",I41-Settings!$B$2)</f>
        <v/>
      </c>
      <c r="K41" s="19" t="n"/>
    </row>
    <row r="42">
      <c r="A42" s="19" t="n"/>
      <c r="B42" s="19" t="n"/>
      <c r="C42" s="19" t="n"/>
      <c r="D42" s="19" t="n"/>
      <c r="E42" s="19" t="n"/>
      <c r="F42" s="19" t="n"/>
      <c r="G42" s="19" t="n"/>
      <c r="H42" s="19" t="n"/>
      <c r="I42" s="19" t="n"/>
      <c r="J42" s="17">
        <f>IF(I42="","",I42-Settings!$B$2)</f>
        <v/>
      </c>
      <c r="K42" s="19" t="n"/>
    </row>
    <row r="43">
      <c r="A43" s="19" t="n"/>
      <c r="B43" s="19" t="n"/>
      <c r="C43" s="19" t="n"/>
      <c r="D43" s="19" t="n"/>
      <c r="E43" s="19" t="n"/>
      <c r="F43" s="19" t="n"/>
      <c r="G43" s="19" t="n"/>
      <c r="H43" s="19" t="n"/>
      <c r="I43" s="19" t="n"/>
      <c r="J43" s="17">
        <f>IF(I43="","",I43-Settings!$B$2)</f>
        <v/>
      </c>
      <c r="K43" s="19" t="n"/>
    </row>
    <row r="44">
      <c r="A44" s="19" t="n"/>
      <c r="B44" s="19" t="n"/>
      <c r="C44" s="19" t="n"/>
      <c r="D44" s="19" t="n"/>
      <c r="E44" s="19" t="n"/>
      <c r="F44" s="19" t="n"/>
      <c r="G44" s="19" t="n"/>
      <c r="H44" s="19" t="n"/>
      <c r="I44" s="19" t="n"/>
      <c r="J44" s="17">
        <f>IF(I44="","",I44-Settings!$B$2)</f>
        <v/>
      </c>
      <c r="K44" s="19" t="n"/>
    </row>
    <row r="45">
      <c r="A45" s="19" t="n"/>
      <c r="B45" s="19" t="n"/>
      <c r="C45" s="19" t="n"/>
      <c r="D45" s="19" t="n"/>
      <c r="E45" s="19" t="n"/>
      <c r="F45" s="19" t="n"/>
      <c r="G45" s="19" t="n"/>
      <c r="H45" s="19" t="n"/>
      <c r="I45" s="19" t="n"/>
      <c r="J45" s="17">
        <f>IF(I45="","",I45-Settings!$B$2)</f>
        <v/>
      </c>
      <c r="K45" s="19" t="n"/>
    </row>
    <row r="46">
      <c r="A46" s="19" t="n"/>
      <c r="B46" s="19" t="n"/>
      <c r="C46" s="19" t="n"/>
      <c r="D46" s="19" t="n"/>
      <c r="E46" s="19" t="n"/>
      <c r="F46" s="19" t="n"/>
      <c r="G46" s="19" t="n"/>
      <c r="H46" s="19" t="n"/>
      <c r="I46" s="19" t="n"/>
      <c r="J46" s="17">
        <f>IF(I46="","",I46-Settings!$B$2)</f>
        <v/>
      </c>
      <c r="K46" s="19" t="n"/>
    </row>
    <row r="47">
      <c r="A47" s="19" t="n"/>
      <c r="B47" s="19" t="n"/>
      <c r="C47" s="19" t="n"/>
      <c r="D47" s="19" t="n"/>
      <c r="E47" s="19" t="n"/>
      <c r="F47" s="19" t="n"/>
      <c r="G47" s="19" t="n"/>
      <c r="H47" s="19" t="n"/>
      <c r="I47" s="19" t="n"/>
      <c r="J47" s="17">
        <f>IF(I47="","",I47-Settings!$B$2)</f>
        <v/>
      </c>
      <c r="K47" s="19" t="n"/>
    </row>
    <row r="48">
      <c r="A48" s="19" t="n"/>
      <c r="B48" s="19" t="n"/>
      <c r="C48" s="19" t="n"/>
      <c r="D48" s="19" t="n"/>
      <c r="E48" s="19" t="n"/>
      <c r="F48" s="19" t="n"/>
      <c r="G48" s="19" t="n"/>
      <c r="H48" s="19" t="n"/>
      <c r="I48" s="19" t="n"/>
      <c r="J48" s="17">
        <f>IF(I48="","",I48-Settings!$B$2)</f>
        <v/>
      </c>
      <c r="K48" s="19" t="n"/>
    </row>
    <row r="49">
      <c r="A49" s="19" t="n"/>
      <c r="B49" s="19" t="n"/>
      <c r="C49" s="19" t="n"/>
      <c r="D49" s="19" t="n"/>
      <c r="E49" s="19" t="n"/>
      <c r="F49" s="19" t="n"/>
      <c r="G49" s="19" t="n"/>
      <c r="H49" s="19" t="n"/>
      <c r="I49" s="19" t="n"/>
      <c r="J49" s="17">
        <f>IF(I49="","",I49-Settings!$B$2)</f>
        <v/>
      </c>
      <c r="K49" s="19" t="n"/>
    </row>
    <row r="50">
      <c r="A50" s="19" t="n"/>
      <c r="B50" s="19" t="n"/>
      <c r="C50" s="19" t="n"/>
      <c r="D50" s="19" t="n"/>
      <c r="E50" s="19" t="n"/>
      <c r="F50" s="19" t="n"/>
      <c r="G50" s="19" t="n"/>
      <c r="H50" s="19" t="n"/>
      <c r="I50" s="19" t="n"/>
      <c r="J50" s="17">
        <f>IF(I50="","",I50-Settings!$B$2)</f>
        <v/>
      </c>
      <c r="K50" s="19" t="n"/>
    </row>
    <row r="51">
      <c r="A51" s="19" t="n"/>
      <c r="B51" s="19" t="n"/>
      <c r="C51" s="19" t="n"/>
      <c r="D51" s="19" t="n"/>
      <c r="E51" s="19" t="n"/>
      <c r="F51" s="19" t="n"/>
      <c r="G51" s="19" t="n"/>
      <c r="H51" s="19" t="n"/>
      <c r="I51" s="19" t="n"/>
      <c r="J51" s="17">
        <f>IF(I51="","",I51-Settings!$B$2)</f>
        <v/>
      </c>
      <c r="K51" s="19" t="n"/>
    </row>
    <row r="52">
      <c r="A52" s="19" t="n"/>
      <c r="B52" s="19" t="n"/>
      <c r="C52" s="19" t="n"/>
      <c r="D52" s="19" t="n"/>
      <c r="E52" s="19" t="n"/>
      <c r="F52" s="19" t="n"/>
      <c r="G52" s="19" t="n"/>
      <c r="H52" s="19" t="n"/>
      <c r="I52" s="19" t="n"/>
      <c r="J52" s="17">
        <f>IF(I52="","",I52-Settings!$B$2)</f>
        <v/>
      </c>
      <c r="K52" s="19" t="n"/>
    </row>
    <row r="53">
      <c r="A53" s="19" t="n"/>
      <c r="B53" s="19" t="n"/>
      <c r="C53" s="19" t="n"/>
      <c r="D53" s="19" t="n"/>
      <c r="E53" s="19" t="n"/>
      <c r="F53" s="19" t="n"/>
      <c r="G53" s="19" t="n"/>
      <c r="H53" s="19" t="n"/>
      <c r="I53" s="19" t="n"/>
      <c r="J53" s="17">
        <f>IF(I53="","",I53-Settings!$B$2)</f>
        <v/>
      </c>
      <c r="K53" s="19" t="n"/>
    </row>
    <row r="54">
      <c r="A54" s="19" t="n"/>
      <c r="B54" s="19" t="n"/>
      <c r="C54" s="19" t="n"/>
      <c r="D54" s="19" t="n"/>
      <c r="E54" s="19" t="n"/>
      <c r="F54" s="19" t="n"/>
      <c r="G54" s="19" t="n"/>
      <c r="H54" s="19" t="n"/>
      <c r="I54" s="19" t="n"/>
      <c r="J54" s="17">
        <f>IF(I54="","",I54-Settings!$B$2)</f>
        <v/>
      </c>
      <c r="K54" s="19" t="n"/>
    </row>
    <row r="55">
      <c r="A55" s="19" t="n"/>
      <c r="B55" s="19" t="n"/>
      <c r="C55" s="19" t="n"/>
      <c r="D55" s="19" t="n"/>
      <c r="E55" s="19" t="n"/>
      <c r="F55" s="19" t="n"/>
      <c r="G55" s="19" t="n"/>
      <c r="H55" s="19" t="n"/>
      <c r="I55" s="19" t="n"/>
      <c r="J55" s="17">
        <f>IF(I55="","",I55-Settings!$B$2)</f>
        <v/>
      </c>
      <c r="K55" s="19" t="n"/>
    </row>
    <row r="56">
      <c r="A56" s="19" t="n"/>
      <c r="B56" s="19" t="n"/>
      <c r="C56" s="19" t="n"/>
      <c r="D56" s="19" t="n"/>
      <c r="E56" s="19" t="n"/>
      <c r="F56" s="19" t="n"/>
      <c r="G56" s="19" t="n"/>
      <c r="H56" s="19" t="n"/>
      <c r="I56" s="19" t="n"/>
      <c r="J56" s="17">
        <f>IF(I56="","",I56-Settings!$B$2)</f>
        <v/>
      </c>
      <c r="K56" s="19" t="n"/>
    </row>
    <row r="57">
      <c r="A57" s="19" t="n"/>
      <c r="B57" s="19" t="n"/>
      <c r="C57" s="19" t="n"/>
      <c r="D57" s="19" t="n"/>
      <c r="E57" s="19" t="n"/>
      <c r="F57" s="19" t="n"/>
      <c r="G57" s="19" t="n"/>
      <c r="H57" s="19" t="n"/>
      <c r="I57" s="19" t="n"/>
      <c r="J57" s="17">
        <f>IF(I57="","",I57-Settings!$B$2)</f>
        <v/>
      </c>
      <c r="K57" s="19" t="n"/>
    </row>
    <row r="58">
      <c r="A58" s="19" t="n"/>
      <c r="B58" s="19" t="n"/>
      <c r="C58" s="19" t="n"/>
      <c r="D58" s="19" t="n"/>
      <c r="E58" s="19" t="n"/>
      <c r="F58" s="19" t="n"/>
      <c r="G58" s="19" t="n"/>
      <c r="H58" s="19" t="n"/>
      <c r="I58" s="19" t="n"/>
      <c r="J58" s="17">
        <f>IF(I58="","",I58-Settings!$B$2)</f>
        <v/>
      </c>
      <c r="K58" s="19" t="n"/>
    </row>
    <row r="59">
      <c r="A59" s="19" t="n"/>
      <c r="B59" s="19" t="n"/>
      <c r="C59" s="19" t="n"/>
      <c r="D59" s="19" t="n"/>
      <c r="E59" s="19" t="n"/>
      <c r="F59" s="19" t="n"/>
      <c r="G59" s="19" t="n"/>
      <c r="H59" s="19" t="n"/>
      <c r="I59" s="19" t="n"/>
      <c r="J59" s="17">
        <f>IF(I59="","",I59-Settings!$B$2)</f>
        <v/>
      </c>
      <c r="K59" s="19" t="n"/>
    </row>
    <row r="60">
      <c r="A60" s="19" t="n"/>
      <c r="B60" s="19" t="n"/>
      <c r="C60" s="19" t="n"/>
      <c r="D60" s="19" t="n"/>
      <c r="E60" s="19" t="n"/>
      <c r="F60" s="19" t="n"/>
      <c r="G60" s="19" t="n"/>
      <c r="H60" s="19" t="n"/>
      <c r="I60" s="19" t="n"/>
      <c r="J60" s="17">
        <f>IF(I60="","",I60-Settings!$B$2)</f>
        <v/>
      </c>
      <c r="K60" s="19" t="n"/>
    </row>
    <row r="61">
      <c r="A61" s="19" t="n"/>
      <c r="B61" s="19" t="n"/>
      <c r="C61" s="19" t="n"/>
      <c r="D61" s="19" t="n"/>
      <c r="E61" s="19" t="n"/>
      <c r="F61" s="19" t="n"/>
      <c r="G61" s="19" t="n"/>
      <c r="H61" s="19" t="n"/>
      <c r="I61" s="19" t="n"/>
      <c r="J61" s="17">
        <f>IF(I61="","",I61-Settings!$B$2)</f>
        <v/>
      </c>
      <c r="K61" s="19" t="n"/>
    </row>
    <row r="62">
      <c r="A62" s="19" t="n"/>
      <c r="B62" s="19" t="n"/>
      <c r="C62" s="19" t="n"/>
      <c r="D62" s="19" t="n"/>
      <c r="E62" s="19" t="n"/>
      <c r="F62" s="19" t="n"/>
      <c r="G62" s="19" t="n"/>
      <c r="H62" s="19" t="n"/>
      <c r="I62" s="19" t="n"/>
      <c r="J62" s="17">
        <f>IF(I62="","",I62-Settings!$B$2)</f>
        <v/>
      </c>
      <c r="K62" s="19" t="n"/>
    </row>
    <row r="63">
      <c r="A63" s="19" t="n"/>
      <c r="B63" s="19" t="n"/>
      <c r="C63" s="19" t="n"/>
      <c r="D63" s="19" t="n"/>
      <c r="E63" s="19" t="n"/>
      <c r="F63" s="19" t="n"/>
      <c r="G63" s="19" t="n"/>
      <c r="H63" s="19" t="n"/>
      <c r="I63" s="19" t="n"/>
      <c r="J63" s="17">
        <f>IF(I63="","",I63-Settings!$B$2)</f>
        <v/>
      </c>
      <c r="K63" s="19" t="n"/>
    </row>
    <row r="64">
      <c r="A64" s="19" t="n"/>
      <c r="B64" s="19" t="n"/>
      <c r="C64" s="19" t="n"/>
      <c r="D64" s="19" t="n"/>
      <c r="E64" s="19" t="n"/>
      <c r="F64" s="19" t="n"/>
      <c r="G64" s="19" t="n"/>
      <c r="H64" s="19" t="n"/>
      <c r="I64" s="19" t="n"/>
      <c r="J64" s="17">
        <f>IF(I64="","",I64-Settings!$B$2)</f>
        <v/>
      </c>
      <c r="K64" s="19" t="n"/>
    </row>
    <row r="65">
      <c r="A65" s="19" t="n"/>
      <c r="B65" s="19" t="n"/>
      <c r="C65" s="19" t="n"/>
      <c r="D65" s="19" t="n"/>
      <c r="E65" s="19" t="n"/>
      <c r="F65" s="19" t="n"/>
      <c r="G65" s="19" t="n"/>
      <c r="H65" s="19" t="n"/>
      <c r="I65" s="19" t="n"/>
      <c r="J65" s="17">
        <f>IF(I65="","",I65-Settings!$B$2)</f>
        <v/>
      </c>
      <c r="K65" s="19" t="n"/>
    </row>
    <row r="66">
      <c r="A66" s="19" t="n"/>
      <c r="B66" s="19" t="n"/>
      <c r="C66" s="19" t="n"/>
      <c r="D66" s="19" t="n"/>
      <c r="E66" s="19" t="n"/>
      <c r="F66" s="19" t="n"/>
      <c r="G66" s="19" t="n"/>
      <c r="H66" s="19" t="n"/>
      <c r="I66" s="19" t="n"/>
      <c r="J66" s="17">
        <f>IF(I66="","",I66-Settings!$B$2)</f>
        <v/>
      </c>
      <c r="K66" s="19" t="n"/>
    </row>
    <row r="67">
      <c r="A67" s="19" t="n"/>
      <c r="B67" s="19" t="n"/>
      <c r="C67" s="19" t="n"/>
      <c r="D67" s="19" t="n"/>
      <c r="E67" s="19" t="n"/>
      <c r="F67" s="19" t="n"/>
      <c r="G67" s="19" t="n"/>
      <c r="H67" s="19" t="n"/>
      <c r="I67" s="19" t="n"/>
      <c r="J67" s="17">
        <f>IF(I67="","",I67-Settings!$B$2)</f>
        <v/>
      </c>
      <c r="K67" s="19" t="n"/>
    </row>
    <row r="68">
      <c r="A68" s="19" t="n"/>
      <c r="B68" s="19" t="n"/>
      <c r="C68" s="19" t="n"/>
      <c r="D68" s="19" t="n"/>
      <c r="E68" s="19" t="n"/>
      <c r="F68" s="19" t="n"/>
      <c r="G68" s="19" t="n"/>
      <c r="H68" s="19" t="n"/>
      <c r="I68" s="19" t="n"/>
      <c r="J68" s="17">
        <f>IF(I68="","",I68-Settings!$B$2)</f>
        <v/>
      </c>
      <c r="K68" s="19" t="n"/>
    </row>
    <row r="69">
      <c r="A69" s="19" t="n"/>
      <c r="B69" s="19" t="n"/>
      <c r="C69" s="19" t="n"/>
      <c r="D69" s="19" t="n"/>
      <c r="E69" s="19" t="n"/>
      <c r="F69" s="19" t="n"/>
      <c r="G69" s="19" t="n"/>
      <c r="H69" s="19" t="n"/>
      <c r="I69" s="19" t="n"/>
      <c r="J69" s="17">
        <f>IF(I69="","",I69-Settings!$B$2)</f>
        <v/>
      </c>
      <c r="K69" s="19" t="n"/>
    </row>
    <row r="70">
      <c r="A70" s="19" t="n"/>
      <c r="B70" s="19" t="n"/>
      <c r="C70" s="19" t="n"/>
      <c r="D70" s="19" t="n"/>
      <c r="E70" s="19" t="n"/>
      <c r="F70" s="19" t="n"/>
      <c r="G70" s="19" t="n"/>
      <c r="H70" s="19" t="n"/>
      <c r="I70" s="19" t="n"/>
      <c r="J70" s="17">
        <f>IF(I70="","",I70-Settings!$B$2)</f>
        <v/>
      </c>
      <c r="K70" s="19" t="n"/>
    </row>
    <row r="71">
      <c r="A71" s="19" t="n"/>
      <c r="B71" s="19" t="n"/>
      <c r="C71" s="19" t="n"/>
      <c r="D71" s="19" t="n"/>
      <c r="E71" s="19" t="n"/>
      <c r="F71" s="19" t="n"/>
      <c r="G71" s="19" t="n"/>
      <c r="H71" s="19" t="n"/>
      <c r="I71" s="19" t="n"/>
      <c r="J71" s="17">
        <f>IF(I71="","",I71-Settings!$B$2)</f>
        <v/>
      </c>
      <c r="K71" s="19" t="n"/>
    </row>
    <row r="72">
      <c r="A72" s="19" t="n"/>
      <c r="B72" s="19" t="n"/>
      <c r="C72" s="19" t="n"/>
      <c r="D72" s="19" t="n"/>
      <c r="E72" s="19" t="n"/>
      <c r="F72" s="19" t="n"/>
      <c r="G72" s="19" t="n"/>
      <c r="H72" s="19" t="n"/>
      <c r="I72" s="19" t="n"/>
      <c r="J72" s="17">
        <f>IF(I72="","",I72-Settings!$B$2)</f>
        <v/>
      </c>
      <c r="K72" s="19" t="n"/>
    </row>
    <row r="73">
      <c r="A73" s="19" t="n"/>
      <c r="B73" s="19" t="n"/>
      <c r="C73" s="19" t="n"/>
      <c r="D73" s="19" t="n"/>
      <c r="E73" s="19" t="n"/>
      <c r="F73" s="19" t="n"/>
      <c r="G73" s="19" t="n"/>
      <c r="H73" s="19" t="n"/>
      <c r="I73" s="19" t="n"/>
      <c r="J73" s="17">
        <f>IF(I73="","",I73-Settings!$B$2)</f>
        <v/>
      </c>
      <c r="K73" s="19" t="n"/>
    </row>
    <row r="74">
      <c r="A74" s="19" t="n"/>
      <c r="B74" s="19" t="n"/>
      <c r="C74" s="19" t="n"/>
      <c r="D74" s="19" t="n"/>
      <c r="E74" s="19" t="n"/>
      <c r="F74" s="19" t="n"/>
      <c r="G74" s="19" t="n"/>
      <c r="H74" s="19" t="n"/>
      <c r="I74" s="19" t="n"/>
      <c r="J74" s="17">
        <f>IF(I74="","",I74-Settings!$B$2)</f>
        <v/>
      </c>
      <c r="K74" s="19" t="n"/>
    </row>
    <row r="75">
      <c r="A75" s="19" t="n"/>
      <c r="B75" s="19" t="n"/>
      <c r="C75" s="19" t="n"/>
      <c r="D75" s="19" t="n"/>
      <c r="E75" s="19" t="n"/>
      <c r="F75" s="19" t="n"/>
      <c r="G75" s="19" t="n"/>
      <c r="H75" s="19" t="n"/>
      <c r="I75" s="19" t="n"/>
      <c r="J75" s="17">
        <f>IF(I75="","",I75-Settings!$B$2)</f>
        <v/>
      </c>
      <c r="K75" s="19" t="n"/>
    </row>
    <row r="76">
      <c r="A76" s="19" t="n"/>
      <c r="B76" s="19" t="n"/>
      <c r="C76" s="19" t="n"/>
      <c r="D76" s="19" t="n"/>
      <c r="E76" s="19" t="n"/>
      <c r="F76" s="19" t="n"/>
      <c r="G76" s="19" t="n"/>
      <c r="H76" s="19" t="n"/>
      <c r="I76" s="19" t="n"/>
      <c r="J76" s="17">
        <f>IF(I76="","",I76-Settings!$B$2)</f>
        <v/>
      </c>
      <c r="K76" s="19" t="n"/>
    </row>
    <row r="77">
      <c r="A77" s="19" t="n"/>
      <c r="B77" s="19" t="n"/>
      <c r="C77" s="19" t="n"/>
      <c r="D77" s="19" t="n"/>
      <c r="E77" s="19" t="n"/>
      <c r="F77" s="19" t="n"/>
      <c r="G77" s="19" t="n"/>
      <c r="H77" s="19" t="n"/>
      <c r="I77" s="19" t="n"/>
      <c r="J77" s="17">
        <f>IF(I77="","",I77-Settings!$B$2)</f>
        <v/>
      </c>
      <c r="K77" s="19" t="n"/>
    </row>
    <row r="78">
      <c r="A78" s="19" t="n"/>
      <c r="B78" s="19" t="n"/>
      <c r="C78" s="19" t="n"/>
      <c r="D78" s="19" t="n"/>
      <c r="E78" s="19" t="n"/>
      <c r="F78" s="19" t="n"/>
      <c r="G78" s="19" t="n"/>
      <c r="H78" s="19" t="n"/>
      <c r="I78" s="19" t="n"/>
      <c r="J78" s="17">
        <f>IF(I78="","",I78-Settings!$B$2)</f>
        <v/>
      </c>
      <c r="K78" s="19" t="n"/>
    </row>
    <row r="79">
      <c r="A79" s="19" t="n"/>
      <c r="B79" s="19" t="n"/>
      <c r="C79" s="19" t="n"/>
      <c r="D79" s="19" t="n"/>
      <c r="E79" s="19" t="n"/>
      <c r="F79" s="19" t="n"/>
      <c r="G79" s="19" t="n"/>
      <c r="H79" s="19" t="n"/>
      <c r="I79" s="19" t="n"/>
      <c r="J79" s="17">
        <f>IF(I79="","",I79-Settings!$B$2)</f>
        <v/>
      </c>
      <c r="K79" s="19" t="n"/>
    </row>
    <row r="80">
      <c r="A80" s="19" t="n"/>
      <c r="B80" s="19" t="n"/>
      <c r="C80" s="19" t="n"/>
      <c r="D80" s="19" t="n"/>
      <c r="E80" s="19" t="n"/>
      <c r="F80" s="19" t="n"/>
      <c r="G80" s="19" t="n"/>
      <c r="H80" s="19" t="n"/>
      <c r="I80" s="19" t="n"/>
      <c r="J80" s="17">
        <f>IF(I80="","",I80-Settings!$B$2)</f>
        <v/>
      </c>
      <c r="K80" s="19" t="n"/>
    </row>
    <row r="81">
      <c r="A81" s="19" t="n"/>
      <c r="B81" s="19" t="n"/>
      <c r="C81" s="19" t="n"/>
      <c r="D81" s="19" t="n"/>
      <c r="E81" s="19" t="n"/>
      <c r="F81" s="19" t="n"/>
      <c r="G81" s="19" t="n"/>
      <c r="H81" s="19" t="n"/>
      <c r="I81" s="19" t="n"/>
      <c r="J81" s="17">
        <f>IF(I81="","",I81-Settings!$B$2)</f>
        <v/>
      </c>
      <c r="K81" s="19" t="n"/>
    </row>
    <row r="82">
      <c r="A82" s="19" t="n"/>
      <c r="B82" s="19" t="n"/>
      <c r="C82" s="19" t="n"/>
      <c r="D82" s="19" t="n"/>
      <c r="E82" s="19" t="n"/>
      <c r="F82" s="19" t="n"/>
      <c r="G82" s="19" t="n"/>
      <c r="H82" s="19" t="n"/>
      <c r="I82" s="19" t="n"/>
      <c r="J82" s="17">
        <f>IF(I82="","",I82-Settings!$B$2)</f>
        <v/>
      </c>
      <c r="K82" s="19" t="n"/>
    </row>
    <row r="83">
      <c r="A83" s="19" t="n"/>
      <c r="B83" s="19" t="n"/>
      <c r="C83" s="19" t="n"/>
      <c r="D83" s="19" t="n"/>
      <c r="E83" s="19" t="n"/>
      <c r="F83" s="19" t="n"/>
      <c r="G83" s="19" t="n"/>
      <c r="H83" s="19" t="n"/>
      <c r="I83" s="19" t="n"/>
      <c r="J83" s="17">
        <f>IF(I83="","",I83-Settings!$B$2)</f>
        <v/>
      </c>
      <c r="K83" s="19" t="n"/>
    </row>
    <row r="84">
      <c r="A84" s="19" t="n"/>
      <c r="B84" s="19" t="n"/>
      <c r="C84" s="19" t="n"/>
      <c r="D84" s="19" t="n"/>
      <c r="E84" s="19" t="n"/>
      <c r="F84" s="19" t="n"/>
      <c r="G84" s="19" t="n"/>
      <c r="H84" s="19" t="n"/>
      <c r="I84" s="19" t="n"/>
      <c r="J84" s="17">
        <f>IF(I84="","",I84-Settings!$B$2)</f>
        <v/>
      </c>
      <c r="K84" s="19" t="n"/>
    </row>
    <row r="85">
      <c r="A85" s="19" t="n"/>
      <c r="B85" s="19" t="n"/>
      <c r="C85" s="19" t="n"/>
      <c r="D85" s="19" t="n"/>
      <c r="E85" s="19" t="n"/>
      <c r="F85" s="19" t="n"/>
      <c r="G85" s="19" t="n"/>
      <c r="H85" s="19" t="n"/>
      <c r="I85" s="19" t="n"/>
      <c r="J85" s="17">
        <f>IF(I85="","",I85-Settings!$B$2)</f>
        <v/>
      </c>
      <c r="K85" s="19" t="n"/>
    </row>
    <row r="86">
      <c r="A86" s="19" t="n"/>
      <c r="B86" s="19" t="n"/>
      <c r="C86" s="19" t="n"/>
      <c r="D86" s="19" t="n"/>
      <c r="E86" s="19" t="n"/>
      <c r="F86" s="19" t="n"/>
      <c r="G86" s="19" t="n"/>
      <c r="H86" s="19" t="n"/>
      <c r="I86" s="19" t="n"/>
      <c r="J86" s="17">
        <f>IF(I86="","",I86-Settings!$B$2)</f>
        <v/>
      </c>
      <c r="K86" s="19" t="n"/>
    </row>
    <row r="87">
      <c r="A87" s="19" t="n"/>
      <c r="B87" s="19" t="n"/>
      <c r="C87" s="19" t="n"/>
      <c r="D87" s="19" t="n"/>
      <c r="E87" s="19" t="n"/>
      <c r="F87" s="19" t="n"/>
      <c r="G87" s="19" t="n"/>
      <c r="H87" s="19" t="n"/>
      <c r="I87" s="19" t="n"/>
      <c r="J87" s="17">
        <f>IF(I87="","",I87-Settings!$B$2)</f>
        <v/>
      </c>
      <c r="K87" s="19" t="n"/>
    </row>
    <row r="88">
      <c r="A88" s="19" t="n"/>
      <c r="B88" s="19" t="n"/>
      <c r="C88" s="19" t="n"/>
      <c r="D88" s="19" t="n"/>
      <c r="E88" s="19" t="n"/>
      <c r="F88" s="19" t="n"/>
      <c r="G88" s="19" t="n"/>
      <c r="H88" s="19" t="n"/>
      <c r="I88" s="19" t="n"/>
      <c r="J88" s="17">
        <f>IF(I88="","",I88-Settings!$B$2)</f>
        <v/>
      </c>
      <c r="K88" s="19" t="n"/>
    </row>
    <row r="89">
      <c r="A89" s="19" t="n"/>
      <c r="B89" s="19" t="n"/>
      <c r="C89" s="19" t="n"/>
      <c r="D89" s="19" t="n"/>
      <c r="E89" s="19" t="n"/>
      <c r="F89" s="19" t="n"/>
      <c r="G89" s="19" t="n"/>
      <c r="H89" s="19" t="n"/>
      <c r="I89" s="19" t="n"/>
      <c r="J89" s="17">
        <f>IF(I89="","",I89-Settings!$B$2)</f>
        <v/>
      </c>
      <c r="K89" s="19" t="n"/>
    </row>
    <row r="90">
      <c r="A90" s="19" t="n"/>
      <c r="B90" s="19" t="n"/>
      <c r="C90" s="19" t="n"/>
      <c r="D90" s="19" t="n"/>
      <c r="E90" s="19" t="n"/>
      <c r="F90" s="19" t="n"/>
      <c r="G90" s="19" t="n"/>
      <c r="H90" s="19" t="n"/>
      <c r="I90" s="19" t="n"/>
      <c r="J90" s="17">
        <f>IF(I90="","",I90-Settings!$B$2)</f>
        <v/>
      </c>
      <c r="K90" s="19" t="n"/>
    </row>
    <row r="91">
      <c r="A91" s="19" t="n"/>
      <c r="B91" s="19" t="n"/>
      <c r="C91" s="19" t="n"/>
      <c r="D91" s="19" t="n"/>
      <c r="E91" s="19" t="n"/>
      <c r="F91" s="19" t="n"/>
      <c r="G91" s="19" t="n"/>
      <c r="H91" s="19" t="n"/>
      <c r="I91" s="19" t="n"/>
      <c r="J91" s="17">
        <f>IF(I91="","",I91-Settings!$B$2)</f>
        <v/>
      </c>
      <c r="K91" s="19" t="n"/>
    </row>
    <row r="92">
      <c r="A92" s="19" t="n"/>
      <c r="B92" s="19" t="n"/>
      <c r="C92" s="19" t="n"/>
      <c r="D92" s="19" t="n"/>
      <c r="E92" s="19" t="n"/>
      <c r="F92" s="19" t="n"/>
      <c r="G92" s="19" t="n"/>
      <c r="H92" s="19" t="n"/>
      <c r="I92" s="19" t="n"/>
      <c r="J92" s="17">
        <f>IF(I92="","",I92-Settings!$B$2)</f>
        <v/>
      </c>
      <c r="K92" s="19" t="n"/>
    </row>
    <row r="93">
      <c r="A93" s="19" t="n"/>
      <c r="B93" s="19" t="n"/>
      <c r="C93" s="19" t="n"/>
      <c r="D93" s="19" t="n"/>
      <c r="E93" s="19" t="n"/>
      <c r="F93" s="19" t="n"/>
      <c r="G93" s="19" t="n"/>
      <c r="H93" s="19" t="n"/>
      <c r="I93" s="19" t="n"/>
      <c r="J93" s="17">
        <f>IF(I93="","",I93-Settings!$B$2)</f>
        <v/>
      </c>
      <c r="K93" s="19" t="n"/>
    </row>
    <row r="94">
      <c r="A94" s="19" t="n"/>
      <c r="B94" s="19" t="n"/>
      <c r="C94" s="19" t="n"/>
      <c r="D94" s="19" t="n"/>
      <c r="E94" s="19" t="n"/>
      <c r="F94" s="19" t="n"/>
      <c r="G94" s="19" t="n"/>
      <c r="H94" s="19" t="n"/>
      <c r="I94" s="19" t="n"/>
      <c r="J94" s="17">
        <f>IF(I94="","",I94-Settings!$B$2)</f>
        <v/>
      </c>
      <c r="K94" s="19" t="n"/>
    </row>
    <row r="95">
      <c r="A95" s="19" t="n"/>
      <c r="B95" s="19" t="n"/>
      <c r="C95" s="19" t="n"/>
      <c r="D95" s="19" t="n"/>
      <c r="E95" s="19" t="n"/>
      <c r="F95" s="19" t="n"/>
      <c r="G95" s="19" t="n"/>
      <c r="H95" s="19" t="n"/>
      <c r="I95" s="19" t="n"/>
      <c r="J95" s="17">
        <f>IF(I95="","",I95-Settings!$B$2)</f>
        <v/>
      </c>
      <c r="K95" s="19" t="n"/>
    </row>
    <row r="96">
      <c r="A96" s="19" t="n"/>
      <c r="B96" s="19" t="n"/>
      <c r="C96" s="19" t="n"/>
      <c r="D96" s="19" t="n"/>
      <c r="E96" s="19" t="n"/>
      <c r="F96" s="19" t="n"/>
      <c r="G96" s="19" t="n"/>
      <c r="H96" s="19" t="n"/>
      <c r="I96" s="19" t="n"/>
      <c r="J96" s="17">
        <f>IF(I96="","",I96-Settings!$B$2)</f>
        <v/>
      </c>
      <c r="K96" s="19" t="n"/>
    </row>
    <row r="97">
      <c r="A97" s="19" t="n"/>
      <c r="B97" s="19" t="n"/>
      <c r="C97" s="19" t="n"/>
      <c r="D97" s="19" t="n"/>
      <c r="E97" s="19" t="n"/>
      <c r="F97" s="19" t="n"/>
      <c r="G97" s="19" t="n"/>
      <c r="H97" s="19" t="n"/>
      <c r="I97" s="19" t="n"/>
      <c r="J97" s="17">
        <f>IF(I97="","",I97-Settings!$B$2)</f>
        <v/>
      </c>
      <c r="K97" s="19" t="n"/>
    </row>
    <row r="98">
      <c r="A98" s="19" t="n"/>
      <c r="B98" s="19" t="n"/>
      <c r="C98" s="19" t="n"/>
      <c r="D98" s="19" t="n"/>
      <c r="E98" s="19" t="n"/>
      <c r="F98" s="19" t="n"/>
      <c r="G98" s="19" t="n"/>
      <c r="H98" s="19" t="n"/>
      <c r="I98" s="19" t="n"/>
      <c r="J98" s="17">
        <f>IF(I98="","",I98-Settings!$B$2)</f>
        <v/>
      </c>
      <c r="K98" s="19" t="n"/>
    </row>
    <row r="99">
      <c r="A99" s="19" t="n"/>
      <c r="B99" s="19" t="n"/>
      <c r="C99" s="19" t="n"/>
      <c r="D99" s="19" t="n"/>
      <c r="E99" s="19" t="n"/>
      <c r="F99" s="19" t="n"/>
      <c r="G99" s="19" t="n"/>
      <c r="H99" s="19" t="n"/>
      <c r="I99" s="19" t="n"/>
      <c r="J99" s="17">
        <f>IF(I99="","",I99-Settings!$B$2)</f>
        <v/>
      </c>
      <c r="K99" s="19" t="n"/>
    </row>
    <row r="100">
      <c r="A100" s="19" t="n"/>
      <c r="B100" s="19" t="n"/>
      <c r="C100" s="19" t="n"/>
      <c r="D100" s="19" t="n"/>
      <c r="E100" s="19" t="n"/>
      <c r="F100" s="19" t="n"/>
      <c r="G100" s="19" t="n"/>
      <c r="H100" s="19" t="n"/>
      <c r="I100" s="19" t="n"/>
      <c r="J100" s="17">
        <f>IF(I100="","",I100-Settings!$B$2)</f>
        <v/>
      </c>
      <c r="K100" s="19" t="n"/>
    </row>
    <row r="101">
      <c r="A101" s="19" t="n"/>
      <c r="B101" s="19" t="n"/>
      <c r="C101" s="19" t="n"/>
      <c r="D101" s="19" t="n"/>
      <c r="E101" s="19" t="n"/>
      <c r="F101" s="19" t="n"/>
      <c r="G101" s="19" t="n"/>
      <c r="H101" s="19" t="n"/>
      <c r="I101" s="19" t="n"/>
      <c r="J101" s="17">
        <f>IF(I101="","",I101-Settings!$B$2)</f>
        <v/>
      </c>
      <c r="K101" s="19" t="n"/>
    </row>
    <row r="102">
      <c r="A102" s="19" t="n"/>
      <c r="B102" s="19" t="n"/>
      <c r="C102" s="19" t="n"/>
      <c r="D102" s="19" t="n"/>
      <c r="E102" s="19" t="n"/>
      <c r="F102" s="19" t="n"/>
      <c r="G102" s="19" t="n"/>
      <c r="H102" s="19" t="n"/>
      <c r="I102" s="19" t="n"/>
      <c r="J102" s="17">
        <f>IF(I102="","",I102-Settings!$B$2)</f>
        <v/>
      </c>
      <c r="K102" s="19" t="n"/>
    </row>
    <row r="103">
      <c r="A103" s="19" t="n"/>
      <c r="B103" s="19" t="n"/>
      <c r="C103" s="19" t="n"/>
      <c r="D103" s="19" t="n"/>
      <c r="E103" s="19" t="n"/>
      <c r="F103" s="19" t="n"/>
      <c r="G103" s="19" t="n"/>
      <c r="H103" s="19" t="n"/>
      <c r="I103" s="19" t="n"/>
      <c r="J103" s="17">
        <f>IF(I103="","",I103-Settings!$B$2)</f>
        <v/>
      </c>
      <c r="K103" s="19" t="n"/>
    </row>
    <row r="104">
      <c r="A104" s="19" t="n"/>
      <c r="B104" s="19" t="n"/>
      <c r="C104" s="19" t="n"/>
      <c r="D104" s="19" t="n"/>
      <c r="E104" s="19" t="n"/>
      <c r="F104" s="19" t="n"/>
      <c r="G104" s="19" t="n"/>
      <c r="H104" s="19" t="n"/>
      <c r="I104" s="19" t="n"/>
      <c r="J104" s="17">
        <f>IF(I104="","",I104-Settings!$B$2)</f>
        <v/>
      </c>
      <c r="K104" s="19" t="n"/>
    </row>
    <row r="105">
      <c r="A105" s="19" t="n"/>
      <c r="B105" s="19" t="n"/>
      <c r="C105" s="19" t="n"/>
      <c r="D105" s="19" t="n"/>
      <c r="E105" s="19" t="n"/>
      <c r="F105" s="19" t="n"/>
      <c r="G105" s="19" t="n"/>
      <c r="H105" s="19" t="n"/>
      <c r="I105" s="19" t="n"/>
      <c r="J105" s="17">
        <f>IF(I105="","",I105-Settings!$B$2)</f>
        <v/>
      </c>
      <c r="K105" s="19" t="n"/>
    </row>
    <row r="106">
      <c r="A106" s="19" t="n"/>
      <c r="B106" s="19" t="n"/>
      <c r="C106" s="19" t="n"/>
      <c r="D106" s="19" t="n"/>
      <c r="E106" s="19" t="n"/>
      <c r="F106" s="19" t="n"/>
      <c r="G106" s="19" t="n"/>
      <c r="H106" s="19" t="n"/>
      <c r="I106" s="19" t="n"/>
      <c r="J106" s="17">
        <f>IF(I106="","",I106-Settings!$B$2)</f>
        <v/>
      </c>
      <c r="K106" s="19" t="n"/>
    </row>
    <row r="107">
      <c r="A107" s="19" t="n"/>
      <c r="B107" s="19" t="n"/>
      <c r="C107" s="19" t="n"/>
      <c r="D107" s="19" t="n"/>
      <c r="E107" s="19" t="n"/>
      <c r="F107" s="19" t="n"/>
      <c r="G107" s="19" t="n"/>
      <c r="H107" s="19" t="n"/>
      <c r="I107" s="19" t="n"/>
      <c r="J107" s="17">
        <f>IF(I107="","",I107-Settings!$B$2)</f>
        <v/>
      </c>
      <c r="K107" s="19" t="n"/>
    </row>
    <row r="108">
      <c r="A108" s="19" t="n"/>
      <c r="B108" s="19" t="n"/>
      <c r="C108" s="19" t="n"/>
      <c r="D108" s="19" t="n"/>
      <c r="E108" s="19" t="n"/>
      <c r="F108" s="19" t="n"/>
      <c r="G108" s="19" t="n"/>
      <c r="H108" s="19" t="n"/>
      <c r="I108" s="19" t="n"/>
      <c r="J108" s="17">
        <f>IF(I108="","",I108-Settings!$B$2)</f>
        <v/>
      </c>
      <c r="K108" s="19" t="n"/>
    </row>
    <row r="109">
      <c r="A109" s="19" t="n"/>
      <c r="B109" s="19" t="n"/>
      <c r="C109" s="19" t="n"/>
      <c r="D109" s="19" t="n"/>
      <c r="E109" s="19" t="n"/>
      <c r="F109" s="19" t="n"/>
      <c r="G109" s="19" t="n"/>
      <c r="H109" s="19" t="n"/>
      <c r="I109" s="19" t="n"/>
      <c r="J109" s="17">
        <f>IF(I109="","",I109-Settings!$B$2)</f>
        <v/>
      </c>
      <c r="K109" s="19" t="n"/>
    </row>
    <row r="110">
      <c r="A110" s="19" t="n"/>
      <c r="B110" s="19" t="n"/>
      <c r="C110" s="19" t="n"/>
      <c r="D110" s="19" t="n"/>
      <c r="E110" s="19" t="n"/>
      <c r="F110" s="19" t="n"/>
      <c r="G110" s="19" t="n"/>
      <c r="H110" s="19" t="n"/>
      <c r="I110" s="19" t="n"/>
      <c r="J110" s="17">
        <f>IF(I110="","",I110-Settings!$B$2)</f>
        <v/>
      </c>
      <c r="K110" s="19" t="n"/>
    </row>
    <row r="111">
      <c r="A111" s="19" t="n"/>
      <c r="B111" s="19" t="n"/>
      <c r="C111" s="19" t="n"/>
      <c r="D111" s="19" t="n"/>
      <c r="E111" s="19" t="n"/>
      <c r="F111" s="19" t="n"/>
      <c r="G111" s="19" t="n"/>
      <c r="H111" s="19" t="n"/>
      <c r="I111" s="19" t="n"/>
      <c r="J111" s="17">
        <f>IF(I111="","",I111-Settings!$B$2)</f>
        <v/>
      </c>
      <c r="K111" s="19" t="n"/>
    </row>
    <row r="112">
      <c r="A112" s="19" t="n"/>
      <c r="B112" s="19" t="n"/>
      <c r="C112" s="19" t="n"/>
      <c r="D112" s="19" t="n"/>
      <c r="E112" s="19" t="n"/>
      <c r="F112" s="19" t="n"/>
      <c r="G112" s="19" t="n"/>
      <c r="H112" s="19" t="n"/>
      <c r="I112" s="19" t="n"/>
      <c r="J112" s="17">
        <f>IF(I112="","",I112-Settings!$B$2)</f>
        <v/>
      </c>
      <c r="K112" s="19" t="n"/>
    </row>
    <row r="113">
      <c r="A113" s="19" t="n"/>
      <c r="B113" s="19" t="n"/>
      <c r="C113" s="19" t="n"/>
      <c r="D113" s="19" t="n"/>
      <c r="E113" s="19" t="n"/>
      <c r="F113" s="19" t="n"/>
      <c r="G113" s="19" t="n"/>
      <c r="H113" s="19" t="n"/>
      <c r="I113" s="19" t="n"/>
      <c r="J113" s="17">
        <f>IF(I113="","",I113-Settings!$B$2)</f>
        <v/>
      </c>
      <c r="K113" s="19" t="n"/>
    </row>
    <row r="114">
      <c r="A114" s="19" t="n"/>
      <c r="B114" s="19" t="n"/>
      <c r="C114" s="19" t="n"/>
      <c r="D114" s="19" t="n"/>
      <c r="E114" s="19" t="n"/>
      <c r="F114" s="19" t="n"/>
      <c r="G114" s="19" t="n"/>
      <c r="H114" s="19" t="n"/>
      <c r="I114" s="19" t="n"/>
      <c r="J114" s="17">
        <f>IF(I114="","",I114-Settings!$B$2)</f>
        <v/>
      </c>
      <c r="K114" s="19" t="n"/>
    </row>
    <row r="115">
      <c r="A115" s="19" t="n"/>
      <c r="B115" s="19" t="n"/>
      <c r="C115" s="19" t="n"/>
      <c r="D115" s="19" t="n"/>
      <c r="E115" s="19" t="n"/>
      <c r="F115" s="19" t="n"/>
      <c r="G115" s="19" t="n"/>
      <c r="H115" s="19" t="n"/>
      <c r="I115" s="19" t="n"/>
      <c r="J115" s="17">
        <f>IF(I115="","",I115-Settings!$B$2)</f>
        <v/>
      </c>
      <c r="K115" s="19" t="n"/>
    </row>
    <row r="116">
      <c r="A116" s="19" t="n"/>
      <c r="B116" s="19" t="n"/>
      <c r="C116" s="19" t="n"/>
      <c r="D116" s="19" t="n"/>
      <c r="E116" s="19" t="n"/>
      <c r="F116" s="19" t="n"/>
      <c r="G116" s="19" t="n"/>
      <c r="H116" s="19" t="n"/>
      <c r="I116" s="19" t="n"/>
      <c r="J116" s="17">
        <f>IF(I116="","",I116-Settings!$B$2)</f>
        <v/>
      </c>
      <c r="K116" s="19" t="n"/>
    </row>
    <row r="117">
      <c r="A117" s="19" t="n"/>
      <c r="B117" s="19" t="n"/>
      <c r="C117" s="19" t="n"/>
      <c r="D117" s="19" t="n"/>
      <c r="E117" s="19" t="n"/>
      <c r="F117" s="19" t="n"/>
      <c r="G117" s="19" t="n"/>
      <c r="H117" s="19" t="n"/>
      <c r="I117" s="19" t="n"/>
      <c r="J117" s="17">
        <f>IF(I117="","",I117-Settings!$B$2)</f>
        <v/>
      </c>
      <c r="K117" s="19" t="n"/>
    </row>
    <row r="118">
      <c r="A118" s="19" t="n"/>
      <c r="B118" s="19" t="n"/>
      <c r="C118" s="19" t="n"/>
      <c r="D118" s="19" t="n"/>
      <c r="E118" s="19" t="n"/>
      <c r="F118" s="19" t="n"/>
      <c r="G118" s="19" t="n"/>
      <c r="H118" s="19" t="n"/>
      <c r="I118" s="19" t="n"/>
      <c r="J118" s="17">
        <f>IF(I118="","",I118-Settings!$B$2)</f>
        <v/>
      </c>
      <c r="K118" s="19" t="n"/>
    </row>
    <row r="119">
      <c r="A119" s="19" t="n"/>
      <c r="B119" s="19" t="n"/>
      <c r="C119" s="19" t="n"/>
      <c r="D119" s="19" t="n"/>
      <c r="E119" s="19" t="n"/>
      <c r="F119" s="19" t="n"/>
      <c r="G119" s="19" t="n"/>
      <c r="H119" s="19" t="n"/>
      <c r="I119" s="19" t="n"/>
      <c r="J119" s="17">
        <f>IF(I119="","",I119-Settings!$B$2)</f>
        <v/>
      </c>
      <c r="K119" s="19" t="n"/>
    </row>
    <row r="120">
      <c r="A120" s="19" t="n"/>
      <c r="B120" s="19" t="n"/>
      <c r="C120" s="19" t="n"/>
      <c r="D120" s="19" t="n"/>
      <c r="E120" s="19" t="n"/>
      <c r="F120" s="19" t="n"/>
      <c r="G120" s="19" t="n"/>
      <c r="H120" s="19" t="n"/>
      <c r="I120" s="19" t="n"/>
      <c r="J120" s="17">
        <f>IF(I120="","",I120-Settings!$B$2)</f>
        <v/>
      </c>
      <c r="K120" s="19" t="n"/>
    </row>
    <row r="121">
      <c r="A121" s="19" t="n"/>
      <c r="B121" s="19" t="n"/>
      <c r="C121" s="19" t="n"/>
      <c r="D121" s="19" t="n"/>
      <c r="E121" s="19" t="n"/>
      <c r="F121" s="19" t="n"/>
      <c r="G121" s="19" t="n"/>
      <c r="H121" s="19" t="n"/>
      <c r="I121" s="19" t="n"/>
      <c r="J121" s="17">
        <f>IF(I121="","",I121-Settings!$B$2)</f>
        <v/>
      </c>
      <c r="K121" s="19" t="n"/>
    </row>
    <row r="122">
      <c r="A122" s="19" t="n"/>
      <c r="B122" s="19" t="n"/>
      <c r="C122" s="19" t="n"/>
      <c r="D122" s="19" t="n"/>
      <c r="E122" s="19" t="n"/>
      <c r="F122" s="19" t="n"/>
      <c r="G122" s="19" t="n"/>
      <c r="H122" s="19" t="n"/>
      <c r="I122" s="19" t="n"/>
      <c r="J122" s="17">
        <f>IF(I122="","",I122-Settings!$B$2)</f>
        <v/>
      </c>
      <c r="K122" s="19" t="n"/>
    </row>
    <row r="123">
      <c r="A123" s="19" t="n"/>
      <c r="B123" s="19" t="n"/>
      <c r="C123" s="19" t="n"/>
      <c r="D123" s="19" t="n"/>
      <c r="E123" s="19" t="n"/>
      <c r="F123" s="19" t="n"/>
      <c r="G123" s="19" t="n"/>
      <c r="H123" s="19" t="n"/>
      <c r="I123" s="19" t="n"/>
      <c r="J123" s="17">
        <f>IF(I123="","",I123-Settings!$B$2)</f>
        <v/>
      </c>
      <c r="K123" s="19" t="n"/>
    </row>
    <row r="124">
      <c r="A124" s="19" t="n"/>
      <c r="B124" s="19" t="n"/>
      <c r="C124" s="19" t="n"/>
      <c r="D124" s="19" t="n"/>
      <c r="E124" s="19" t="n"/>
      <c r="F124" s="19" t="n"/>
      <c r="G124" s="19" t="n"/>
      <c r="H124" s="19" t="n"/>
      <c r="I124" s="19" t="n"/>
      <c r="J124" s="17">
        <f>IF(I124="","",I124-Settings!$B$2)</f>
        <v/>
      </c>
      <c r="K124" s="19" t="n"/>
    </row>
    <row r="125">
      <c r="A125" s="19" t="n"/>
      <c r="B125" s="19" t="n"/>
      <c r="C125" s="19" t="n"/>
      <c r="D125" s="19" t="n"/>
      <c r="E125" s="19" t="n"/>
      <c r="F125" s="19" t="n"/>
      <c r="G125" s="19" t="n"/>
      <c r="H125" s="19" t="n"/>
      <c r="I125" s="19" t="n"/>
      <c r="J125" s="17">
        <f>IF(I125="","",I125-Settings!$B$2)</f>
        <v/>
      </c>
      <c r="K125" s="19" t="n"/>
    </row>
    <row r="126">
      <c r="A126" s="19" t="n"/>
      <c r="B126" s="19" t="n"/>
      <c r="C126" s="19" t="n"/>
      <c r="D126" s="19" t="n"/>
      <c r="E126" s="19" t="n"/>
      <c r="F126" s="19" t="n"/>
      <c r="G126" s="19" t="n"/>
      <c r="H126" s="19" t="n"/>
      <c r="I126" s="19" t="n"/>
      <c r="J126" s="17">
        <f>IF(I126="","",I126-Settings!$B$2)</f>
        <v/>
      </c>
      <c r="K126" s="19" t="n"/>
    </row>
    <row r="127">
      <c r="A127" s="19" t="n"/>
      <c r="B127" s="19" t="n"/>
      <c r="C127" s="19" t="n"/>
      <c r="D127" s="19" t="n"/>
      <c r="E127" s="19" t="n"/>
      <c r="F127" s="19" t="n"/>
      <c r="G127" s="19" t="n"/>
      <c r="H127" s="19" t="n"/>
      <c r="I127" s="19" t="n"/>
      <c r="J127" s="17">
        <f>IF(I127="","",I127-Settings!$B$2)</f>
        <v/>
      </c>
      <c r="K127" s="19" t="n"/>
    </row>
    <row r="128">
      <c r="A128" s="19" t="n"/>
      <c r="B128" s="19" t="n"/>
      <c r="C128" s="19" t="n"/>
      <c r="D128" s="19" t="n"/>
      <c r="E128" s="19" t="n"/>
      <c r="F128" s="19" t="n"/>
      <c r="G128" s="19" t="n"/>
      <c r="H128" s="19" t="n"/>
      <c r="I128" s="19" t="n"/>
      <c r="J128" s="17">
        <f>IF(I128="","",I128-Settings!$B$2)</f>
        <v/>
      </c>
      <c r="K128" s="19" t="n"/>
    </row>
    <row r="129">
      <c r="A129" s="19" t="n"/>
      <c r="B129" s="19" t="n"/>
      <c r="C129" s="19" t="n"/>
      <c r="D129" s="19" t="n"/>
      <c r="E129" s="19" t="n"/>
      <c r="F129" s="19" t="n"/>
      <c r="G129" s="19" t="n"/>
      <c r="H129" s="19" t="n"/>
      <c r="I129" s="19" t="n"/>
      <c r="J129" s="17">
        <f>IF(I129="","",I129-Settings!$B$2)</f>
        <v/>
      </c>
      <c r="K129" s="19" t="n"/>
    </row>
    <row r="130">
      <c r="A130" s="19" t="n"/>
      <c r="B130" s="19" t="n"/>
      <c r="C130" s="19" t="n"/>
      <c r="D130" s="19" t="n"/>
      <c r="E130" s="19" t="n"/>
      <c r="F130" s="19" t="n"/>
      <c r="G130" s="19" t="n"/>
      <c r="H130" s="19" t="n"/>
      <c r="I130" s="19" t="n"/>
      <c r="J130" s="17">
        <f>IF(I130="","",I130-Settings!$B$2)</f>
        <v/>
      </c>
      <c r="K130" s="19" t="n"/>
    </row>
    <row r="131">
      <c r="A131" s="19" t="n"/>
      <c r="B131" s="19" t="n"/>
      <c r="C131" s="19" t="n"/>
      <c r="D131" s="19" t="n"/>
      <c r="E131" s="19" t="n"/>
      <c r="F131" s="19" t="n"/>
      <c r="G131" s="19" t="n"/>
      <c r="H131" s="19" t="n"/>
      <c r="I131" s="19" t="n"/>
      <c r="J131" s="17">
        <f>IF(I131="","",I131-Settings!$B$2)</f>
        <v/>
      </c>
      <c r="K131" s="19" t="n"/>
    </row>
    <row r="132">
      <c r="A132" s="19" t="n"/>
      <c r="B132" s="19" t="n"/>
      <c r="C132" s="19" t="n"/>
      <c r="D132" s="19" t="n"/>
      <c r="E132" s="19" t="n"/>
      <c r="F132" s="19" t="n"/>
      <c r="G132" s="19" t="n"/>
      <c r="H132" s="19" t="n"/>
      <c r="I132" s="19" t="n"/>
      <c r="J132" s="17">
        <f>IF(I132="","",I132-Settings!$B$2)</f>
        <v/>
      </c>
      <c r="K132" s="19" t="n"/>
    </row>
    <row r="133">
      <c r="A133" s="19" t="n"/>
      <c r="B133" s="19" t="n"/>
      <c r="C133" s="19" t="n"/>
      <c r="D133" s="19" t="n"/>
      <c r="E133" s="19" t="n"/>
      <c r="F133" s="19" t="n"/>
      <c r="G133" s="19" t="n"/>
      <c r="H133" s="19" t="n"/>
      <c r="I133" s="19" t="n"/>
      <c r="J133" s="17">
        <f>IF(I133="","",I133-Settings!$B$2)</f>
        <v/>
      </c>
      <c r="K133" s="19" t="n"/>
    </row>
    <row r="134">
      <c r="A134" s="19" t="n"/>
      <c r="B134" s="19" t="n"/>
      <c r="C134" s="19" t="n"/>
      <c r="D134" s="19" t="n"/>
      <c r="E134" s="19" t="n"/>
      <c r="F134" s="19" t="n"/>
      <c r="G134" s="19" t="n"/>
      <c r="H134" s="19" t="n"/>
      <c r="I134" s="19" t="n"/>
      <c r="J134" s="17">
        <f>IF(I134="","",I134-Settings!$B$2)</f>
        <v/>
      </c>
      <c r="K134" s="19" t="n"/>
    </row>
    <row r="135">
      <c r="A135" s="19" t="n"/>
      <c r="B135" s="19" t="n"/>
      <c r="C135" s="19" t="n"/>
      <c r="D135" s="19" t="n"/>
      <c r="E135" s="19" t="n"/>
      <c r="F135" s="19" t="n"/>
      <c r="G135" s="19" t="n"/>
      <c r="H135" s="19" t="n"/>
      <c r="I135" s="19" t="n"/>
      <c r="J135" s="17">
        <f>IF(I135="","",I135-Settings!$B$2)</f>
        <v/>
      </c>
      <c r="K135" s="19" t="n"/>
    </row>
    <row r="136">
      <c r="A136" s="19" t="n"/>
      <c r="B136" s="19" t="n"/>
      <c r="C136" s="19" t="n"/>
      <c r="D136" s="19" t="n"/>
      <c r="E136" s="19" t="n"/>
      <c r="F136" s="19" t="n"/>
      <c r="G136" s="19" t="n"/>
      <c r="H136" s="19" t="n"/>
      <c r="I136" s="19" t="n"/>
      <c r="J136" s="17">
        <f>IF(I136="","",I136-Settings!$B$2)</f>
        <v/>
      </c>
      <c r="K136" s="19" t="n"/>
    </row>
    <row r="137">
      <c r="A137" s="19" t="n"/>
      <c r="B137" s="19" t="n"/>
      <c r="C137" s="19" t="n"/>
      <c r="D137" s="19" t="n"/>
      <c r="E137" s="19" t="n"/>
      <c r="F137" s="19" t="n"/>
      <c r="G137" s="19" t="n"/>
      <c r="H137" s="19" t="n"/>
      <c r="I137" s="19" t="n"/>
      <c r="J137" s="17">
        <f>IF(I137="","",I137-Settings!$B$2)</f>
        <v/>
      </c>
      <c r="K137" s="19" t="n"/>
    </row>
    <row r="138">
      <c r="A138" s="19" t="n"/>
      <c r="B138" s="19" t="n"/>
      <c r="C138" s="19" t="n"/>
      <c r="D138" s="19" t="n"/>
      <c r="E138" s="19" t="n"/>
      <c r="F138" s="19" t="n"/>
      <c r="G138" s="19" t="n"/>
      <c r="H138" s="19" t="n"/>
      <c r="I138" s="19" t="n"/>
      <c r="J138" s="17">
        <f>IF(I138="","",I138-Settings!$B$2)</f>
        <v/>
      </c>
      <c r="K138" s="19" t="n"/>
    </row>
    <row r="139">
      <c r="A139" s="19" t="n"/>
      <c r="B139" s="19" t="n"/>
      <c r="C139" s="19" t="n"/>
      <c r="D139" s="19" t="n"/>
      <c r="E139" s="19" t="n"/>
      <c r="F139" s="19" t="n"/>
      <c r="G139" s="19" t="n"/>
      <c r="H139" s="19" t="n"/>
      <c r="I139" s="19" t="n"/>
      <c r="J139" s="17">
        <f>IF(I139="","",I139-Settings!$B$2)</f>
        <v/>
      </c>
      <c r="K139" s="19" t="n"/>
    </row>
    <row r="140">
      <c r="A140" s="19" t="n"/>
      <c r="B140" s="19" t="n"/>
      <c r="C140" s="19" t="n"/>
      <c r="D140" s="19" t="n"/>
      <c r="E140" s="19" t="n"/>
      <c r="F140" s="19" t="n"/>
      <c r="G140" s="19" t="n"/>
      <c r="H140" s="19" t="n"/>
      <c r="I140" s="19" t="n"/>
      <c r="J140" s="17">
        <f>IF(I140="","",I140-Settings!$B$2)</f>
        <v/>
      </c>
      <c r="K140" s="19" t="n"/>
    </row>
    <row r="141">
      <c r="A141" s="19" t="n"/>
      <c r="B141" s="19" t="n"/>
      <c r="C141" s="19" t="n"/>
      <c r="D141" s="19" t="n"/>
      <c r="E141" s="19" t="n"/>
      <c r="F141" s="19" t="n"/>
      <c r="G141" s="19" t="n"/>
      <c r="H141" s="19" t="n"/>
      <c r="I141" s="19" t="n"/>
      <c r="J141" s="17">
        <f>IF(I141="","",I141-Settings!$B$2)</f>
        <v/>
      </c>
      <c r="K141" s="19" t="n"/>
    </row>
    <row r="142">
      <c r="A142" s="19" t="n"/>
      <c r="B142" s="19" t="n"/>
      <c r="C142" s="19" t="n"/>
      <c r="D142" s="19" t="n"/>
      <c r="E142" s="19" t="n"/>
      <c r="F142" s="19" t="n"/>
      <c r="G142" s="19" t="n"/>
      <c r="H142" s="19" t="n"/>
      <c r="I142" s="19" t="n"/>
      <c r="J142" s="17">
        <f>IF(I142="","",I142-Settings!$B$2)</f>
        <v/>
      </c>
      <c r="K142" s="19" t="n"/>
    </row>
    <row r="143">
      <c r="A143" s="19" t="n"/>
      <c r="B143" s="19" t="n"/>
      <c r="C143" s="19" t="n"/>
      <c r="D143" s="19" t="n"/>
      <c r="E143" s="19" t="n"/>
      <c r="F143" s="19" t="n"/>
      <c r="G143" s="19" t="n"/>
      <c r="H143" s="19" t="n"/>
      <c r="I143" s="19" t="n"/>
      <c r="J143" s="17">
        <f>IF(I143="","",I143-Settings!$B$2)</f>
        <v/>
      </c>
      <c r="K143" s="19" t="n"/>
    </row>
    <row r="144">
      <c r="A144" s="19" t="n"/>
      <c r="B144" s="19" t="n"/>
      <c r="C144" s="19" t="n"/>
      <c r="D144" s="19" t="n"/>
      <c r="E144" s="19" t="n"/>
      <c r="F144" s="19" t="n"/>
      <c r="G144" s="19" t="n"/>
      <c r="H144" s="19" t="n"/>
      <c r="I144" s="19" t="n"/>
      <c r="J144" s="17">
        <f>IF(I144="","",I144-Settings!$B$2)</f>
        <v/>
      </c>
      <c r="K144" s="19" t="n"/>
    </row>
    <row r="145">
      <c r="A145" s="19" t="n"/>
      <c r="B145" s="19" t="n"/>
      <c r="C145" s="19" t="n"/>
      <c r="D145" s="19" t="n"/>
      <c r="E145" s="19" t="n"/>
      <c r="F145" s="19" t="n"/>
      <c r="G145" s="19" t="n"/>
      <c r="H145" s="19" t="n"/>
      <c r="I145" s="19" t="n"/>
      <c r="J145" s="17">
        <f>IF(I145="","",I145-Settings!$B$2)</f>
        <v/>
      </c>
      <c r="K145" s="19" t="n"/>
    </row>
    <row r="146">
      <c r="A146" s="19" t="n"/>
      <c r="B146" s="19" t="n"/>
      <c r="C146" s="19" t="n"/>
      <c r="D146" s="19" t="n"/>
      <c r="E146" s="19" t="n"/>
      <c r="F146" s="19" t="n"/>
      <c r="G146" s="19" t="n"/>
      <c r="H146" s="19" t="n"/>
      <c r="I146" s="19" t="n"/>
      <c r="J146" s="17">
        <f>IF(I146="","",I146-Settings!$B$2)</f>
        <v/>
      </c>
      <c r="K146" s="19" t="n"/>
    </row>
    <row r="147">
      <c r="A147" s="19" t="n"/>
      <c r="B147" s="19" t="n"/>
      <c r="C147" s="19" t="n"/>
      <c r="D147" s="19" t="n"/>
      <c r="E147" s="19" t="n"/>
      <c r="F147" s="19" t="n"/>
      <c r="G147" s="19" t="n"/>
      <c r="H147" s="19" t="n"/>
      <c r="I147" s="19" t="n"/>
      <c r="J147" s="17">
        <f>IF(I147="","",I147-Settings!$B$2)</f>
        <v/>
      </c>
      <c r="K147" s="19" t="n"/>
    </row>
    <row r="148">
      <c r="A148" s="19" t="n"/>
      <c r="B148" s="19" t="n"/>
      <c r="C148" s="19" t="n"/>
      <c r="D148" s="19" t="n"/>
      <c r="E148" s="19" t="n"/>
      <c r="F148" s="19" t="n"/>
      <c r="G148" s="19" t="n"/>
      <c r="H148" s="19" t="n"/>
      <c r="I148" s="19" t="n"/>
      <c r="J148" s="17">
        <f>IF(I148="","",I148-Settings!$B$2)</f>
        <v/>
      </c>
      <c r="K148" s="19" t="n"/>
    </row>
    <row r="149">
      <c r="A149" s="19" t="n"/>
      <c r="B149" s="19" t="n"/>
      <c r="C149" s="19" t="n"/>
      <c r="D149" s="19" t="n"/>
      <c r="E149" s="19" t="n"/>
      <c r="F149" s="19" t="n"/>
      <c r="G149" s="19" t="n"/>
      <c r="H149" s="19" t="n"/>
      <c r="I149" s="19" t="n"/>
      <c r="J149" s="17">
        <f>IF(I149="","",I149-Settings!$B$2)</f>
        <v/>
      </c>
      <c r="K149" s="19" t="n"/>
    </row>
    <row r="150">
      <c r="A150" s="19" t="n"/>
      <c r="B150" s="19" t="n"/>
      <c r="C150" s="19" t="n"/>
      <c r="D150" s="19" t="n"/>
      <c r="E150" s="19" t="n"/>
      <c r="F150" s="19" t="n"/>
      <c r="G150" s="19" t="n"/>
      <c r="H150" s="19" t="n"/>
      <c r="I150" s="19" t="n"/>
      <c r="J150" s="17">
        <f>IF(I150="","",I150-Settings!$B$2)</f>
        <v/>
      </c>
      <c r="K150" s="19" t="n"/>
    </row>
    <row r="151">
      <c r="A151" s="19" t="n"/>
      <c r="B151" s="19" t="n"/>
      <c r="C151" s="19" t="n"/>
      <c r="D151" s="19" t="n"/>
      <c r="E151" s="19" t="n"/>
      <c r="F151" s="19" t="n"/>
      <c r="G151" s="19" t="n"/>
      <c r="H151" s="19" t="n"/>
      <c r="I151" s="19" t="n"/>
      <c r="J151" s="17">
        <f>IF(I151="","",I151-Settings!$B$2)</f>
        <v/>
      </c>
      <c r="K151" s="19" t="n"/>
    </row>
    <row r="152">
      <c r="A152" s="19" t="n"/>
      <c r="B152" s="19" t="n"/>
      <c r="C152" s="19" t="n"/>
      <c r="D152" s="19" t="n"/>
      <c r="E152" s="19" t="n"/>
      <c r="F152" s="19" t="n"/>
      <c r="G152" s="19" t="n"/>
      <c r="H152" s="19" t="n"/>
      <c r="I152" s="19" t="n"/>
      <c r="J152" s="17">
        <f>IF(I152="","",I152-Settings!$B$2)</f>
        <v/>
      </c>
      <c r="K152" s="19" t="n"/>
    </row>
    <row r="153">
      <c r="A153" s="19" t="n"/>
      <c r="B153" s="19" t="n"/>
      <c r="C153" s="19" t="n"/>
      <c r="D153" s="19" t="n"/>
      <c r="E153" s="19" t="n"/>
      <c r="F153" s="19" t="n"/>
      <c r="G153" s="19" t="n"/>
      <c r="H153" s="19" t="n"/>
      <c r="I153" s="19" t="n"/>
      <c r="J153" s="17">
        <f>IF(I153="","",I153-Settings!$B$2)</f>
        <v/>
      </c>
      <c r="K153" s="19" t="n"/>
    </row>
    <row r="154">
      <c r="A154" s="19" t="n"/>
      <c r="B154" s="19" t="n"/>
      <c r="C154" s="19" t="n"/>
      <c r="D154" s="19" t="n"/>
      <c r="E154" s="19" t="n"/>
      <c r="F154" s="19" t="n"/>
      <c r="G154" s="19" t="n"/>
      <c r="H154" s="19" t="n"/>
      <c r="I154" s="19" t="n"/>
      <c r="J154" s="17">
        <f>IF(I154="","",I154-Settings!$B$2)</f>
        <v/>
      </c>
      <c r="K154" s="19" t="n"/>
    </row>
    <row r="155">
      <c r="A155" s="19" t="n"/>
      <c r="B155" s="19" t="n"/>
      <c r="C155" s="19" t="n"/>
      <c r="D155" s="19" t="n"/>
      <c r="E155" s="19" t="n"/>
      <c r="F155" s="19" t="n"/>
      <c r="G155" s="19" t="n"/>
      <c r="H155" s="19" t="n"/>
      <c r="I155" s="19" t="n"/>
      <c r="J155" s="17">
        <f>IF(I155="","",I155-Settings!$B$2)</f>
        <v/>
      </c>
      <c r="K155" s="19" t="n"/>
    </row>
    <row r="156">
      <c r="A156" s="19" t="n"/>
      <c r="B156" s="19" t="n"/>
      <c r="C156" s="19" t="n"/>
      <c r="D156" s="19" t="n"/>
      <c r="E156" s="19" t="n"/>
      <c r="F156" s="19" t="n"/>
      <c r="G156" s="19" t="n"/>
      <c r="H156" s="19" t="n"/>
      <c r="I156" s="19" t="n"/>
      <c r="J156" s="17">
        <f>IF(I156="","",I156-Settings!$B$2)</f>
        <v/>
      </c>
      <c r="K156" s="19" t="n"/>
    </row>
    <row r="157">
      <c r="A157" s="19" t="n"/>
      <c r="B157" s="19" t="n"/>
      <c r="C157" s="19" t="n"/>
      <c r="D157" s="19" t="n"/>
      <c r="E157" s="19" t="n"/>
      <c r="F157" s="19" t="n"/>
      <c r="G157" s="19" t="n"/>
      <c r="H157" s="19" t="n"/>
      <c r="I157" s="19" t="n"/>
      <c r="J157" s="17">
        <f>IF(I157="","",I157-Settings!$B$2)</f>
        <v/>
      </c>
      <c r="K157" s="19" t="n"/>
    </row>
    <row r="158">
      <c r="A158" s="19" t="n"/>
      <c r="B158" s="19" t="n"/>
      <c r="C158" s="19" t="n"/>
      <c r="D158" s="19" t="n"/>
      <c r="E158" s="19" t="n"/>
      <c r="F158" s="19" t="n"/>
      <c r="G158" s="19" t="n"/>
      <c r="H158" s="19" t="n"/>
      <c r="I158" s="19" t="n"/>
      <c r="J158" s="17">
        <f>IF(I158="","",I158-Settings!$B$2)</f>
        <v/>
      </c>
      <c r="K158" s="19" t="n"/>
    </row>
    <row r="159">
      <c r="A159" s="19" t="n"/>
      <c r="B159" s="19" t="n"/>
      <c r="C159" s="19" t="n"/>
      <c r="D159" s="19" t="n"/>
      <c r="E159" s="19" t="n"/>
      <c r="F159" s="19" t="n"/>
      <c r="G159" s="19" t="n"/>
      <c r="H159" s="19" t="n"/>
      <c r="I159" s="19" t="n"/>
      <c r="J159" s="17">
        <f>IF(I159="","",I159-Settings!$B$2)</f>
        <v/>
      </c>
      <c r="K159" s="19" t="n"/>
    </row>
    <row r="160">
      <c r="A160" s="19" t="n"/>
      <c r="B160" s="19" t="n"/>
      <c r="C160" s="19" t="n"/>
      <c r="D160" s="19" t="n"/>
      <c r="E160" s="19" t="n"/>
      <c r="F160" s="19" t="n"/>
      <c r="G160" s="19" t="n"/>
      <c r="H160" s="19" t="n"/>
      <c r="I160" s="19" t="n"/>
      <c r="J160" s="17">
        <f>IF(I160="","",I160-Settings!$B$2)</f>
        <v/>
      </c>
      <c r="K160" s="19" t="n"/>
    </row>
    <row r="161">
      <c r="A161" s="19" t="n"/>
      <c r="B161" s="19" t="n"/>
      <c r="C161" s="19" t="n"/>
      <c r="D161" s="19" t="n"/>
      <c r="E161" s="19" t="n"/>
      <c r="F161" s="19" t="n"/>
      <c r="G161" s="19" t="n"/>
      <c r="H161" s="19" t="n"/>
      <c r="I161" s="19" t="n"/>
      <c r="J161" s="17">
        <f>IF(I161="","",I161-Settings!$B$2)</f>
        <v/>
      </c>
      <c r="K161" s="19" t="n"/>
    </row>
    <row r="162">
      <c r="A162" s="19" t="n"/>
      <c r="B162" s="19" t="n"/>
      <c r="C162" s="19" t="n"/>
      <c r="D162" s="19" t="n"/>
      <c r="E162" s="19" t="n"/>
      <c r="F162" s="19" t="n"/>
      <c r="G162" s="19" t="n"/>
      <c r="H162" s="19" t="n"/>
      <c r="I162" s="19" t="n"/>
      <c r="J162" s="17">
        <f>IF(I162="","",I162-Settings!$B$2)</f>
        <v/>
      </c>
      <c r="K162" s="19" t="n"/>
    </row>
    <row r="163">
      <c r="A163" s="19" t="n"/>
      <c r="B163" s="19" t="n"/>
      <c r="C163" s="19" t="n"/>
      <c r="D163" s="19" t="n"/>
      <c r="E163" s="19" t="n"/>
      <c r="F163" s="19" t="n"/>
      <c r="G163" s="19" t="n"/>
      <c r="H163" s="19" t="n"/>
      <c r="I163" s="19" t="n"/>
      <c r="J163" s="17">
        <f>IF(I163="","",I163-Settings!$B$2)</f>
        <v/>
      </c>
      <c r="K163" s="19" t="n"/>
    </row>
    <row r="164">
      <c r="A164" s="19" t="n"/>
      <c r="B164" s="19" t="n"/>
      <c r="C164" s="19" t="n"/>
      <c r="D164" s="19" t="n"/>
      <c r="E164" s="19" t="n"/>
      <c r="F164" s="19" t="n"/>
      <c r="G164" s="19" t="n"/>
      <c r="H164" s="19" t="n"/>
      <c r="I164" s="19" t="n"/>
      <c r="J164" s="17">
        <f>IF(I164="","",I164-Settings!$B$2)</f>
        <v/>
      </c>
      <c r="K164" s="19" t="n"/>
    </row>
    <row r="165">
      <c r="A165" s="19" t="n"/>
      <c r="B165" s="19" t="n"/>
      <c r="C165" s="19" t="n"/>
      <c r="D165" s="19" t="n"/>
      <c r="E165" s="19" t="n"/>
      <c r="F165" s="19" t="n"/>
      <c r="G165" s="19" t="n"/>
      <c r="H165" s="19" t="n"/>
      <c r="I165" s="19" t="n"/>
      <c r="J165" s="17">
        <f>IF(I165="","",I165-Settings!$B$2)</f>
        <v/>
      </c>
      <c r="K165" s="19" t="n"/>
    </row>
    <row r="166">
      <c r="A166" s="19" t="n"/>
      <c r="B166" s="19" t="n"/>
      <c r="C166" s="19" t="n"/>
      <c r="D166" s="19" t="n"/>
      <c r="E166" s="19" t="n"/>
      <c r="F166" s="19" t="n"/>
      <c r="G166" s="19" t="n"/>
      <c r="H166" s="19" t="n"/>
      <c r="I166" s="19" t="n"/>
      <c r="J166" s="17">
        <f>IF(I166="","",I166-Settings!$B$2)</f>
        <v/>
      </c>
      <c r="K166" s="19" t="n"/>
    </row>
    <row r="167">
      <c r="A167" s="19" t="n"/>
      <c r="B167" s="19" t="n"/>
      <c r="C167" s="19" t="n"/>
      <c r="D167" s="19" t="n"/>
      <c r="E167" s="19" t="n"/>
      <c r="F167" s="19" t="n"/>
      <c r="G167" s="19" t="n"/>
      <c r="H167" s="19" t="n"/>
      <c r="I167" s="19" t="n"/>
      <c r="J167" s="17">
        <f>IF(I167="","",I167-Settings!$B$2)</f>
        <v/>
      </c>
      <c r="K167" s="19" t="n"/>
    </row>
    <row r="168">
      <c r="A168" s="19" t="n"/>
      <c r="B168" s="19" t="n"/>
      <c r="C168" s="19" t="n"/>
      <c r="D168" s="19" t="n"/>
      <c r="E168" s="19" t="n"/>
      <c r="F168" s="19" t="n"/>
      <c r="G168" s="19" t="n"/>
      <c r="H168" s="19" t="n"/>
      <c r="I168" s="19" t="n"/>
      <c r="J168" s="17">
        <f>IF(I168="","",I168-Settings!$B$2)</f>
        <v/>
      </c>
      <c r="K168" s="19" t="n"/>
    </row>
    <row r="169">
      <c r="A169" s="19" t="n"/>
      <c r="B169" s="19" t="n"/>
      <c r="C169" s="19" t="n"/>
      <c r="D169" s="19" t="n"/>
      <c r="E169" s="19" t="n"/>
      <c r="F169" s="19" t="n"/>
      <c r="G169" s="19" t="n"/>
      <c r="H169" s="19" t="n"/>
      <c r="I169" s="19" t="n"/>
      <c r="J169" s="17">
        <f>IF(I169="","",I169-Settings!$B$2)</f>
        <v/>
      </c>
      <c r="K169" s="19" t="n"/>
    </row>
    <row r="170">
      <c r="A170" s="19" t="n"/>
      <c r="B170" s="19" t="n"/>
      <c r="C170" s="19" t="n"/>
      <c r="D170" s="19" t="n"/>
      <c r="E170" s="19" t="n"/>
      <c r="F170" s="19" t="n"/>
      <c r="G170" s="19" t="n"/>
      <c r="H170" s="19" t="n"/>
      <c r="I170" s="19" t="n"/>
      <c r="J170" s="17">
        <f>IF(I170="","",I170-Settings!$B$2)</f>
        <v/>
      </c>
      <c r="K170" s="19" t="n"/>
    </row>
    <row r="171">
      <c r="A171" s="19" t="n"/>
      <c r="B171" s="19" t="n"/>
      <c r="C171" s="19" t="n"/>
      <c r="D171" s="19" t="n"/>
      <c r="E171" s="19" t="n"/>
      <c r="F171" s="19" t="n"/>
      <c r="G171" s="19" t="n"/>
      <c r="H171" s="19" t="n"/>
      <c r="I171" s="19" t="n"/>
      <c r="J171" s="17">
        <f>IF(I171="","",I171-Settings!$B$2)</f>
        <v/>
      </c>
      <c r="K171" s="19" t="n"/>
    </row>
    <row r="172">
      <c r="A172" s="19" t="n"/>
      <c r="B172" s="19" t="n"/>
      <c r="C172" s="19" t="n"/>
      <c r="D172" s="19" t="n"/>
      <c r="E172" s="19" t="n"/>
      <c r="F172" s="19" t="n"/>
      <c r="G172" s="19" t="n"/>
      <c r="H172" s="19" t="n"/>
      <c r="I172" s="19" t="n"/>
      <c r="J172" s="17">
        <f>IF(I172="","",I172-Settings!$B$2)</f>
        <v/>
      </c>
      <c r="K172" s="19" t="n"/>
    </row>
    <row r="173">
      <c r="A173" s="19" t="n"/>
      <c r="B173" s="19" t="n"/>
      <c r="C173" s="19" t="n"/>
      <c r="D173" s="19" t="n"/>
      <c r="E173" s="19" t="n"/>
      <c r="F173" s="19" t="n"/>
      <c r="G173" s="19" t="n"/>
      <c r="H173" s="19" t="n"/>
      <c r="I173" s="19" t="n"/>
      <c r="J173" s="17">
        <f>IF(I173="","",I173-Settings!$B$2)</f>
        <v/>
      </c>
      <c r="K173" s="19" t="n"/>
    </row>
    <row r="174">
      <c r="A174" s="19" t="n"/>
      <c r="B174" s="19" t="n"/>
      <c r="C174" s="19" t="n"/>
      <c r="D174" s="19" t="n"/>
      <c r="E174" s="19" t="n"/>
      <c r="F174" s="19" t="n"/>
      <c r="G174" s="19" t="n"/>
      <c r="H174" s="19" t="n"/>
      <c r="I174" s="19" t="n"/>
      <c r="J174" s="17">
        <f>IF(I174="","",I174-Settings!$B$2)</f>
        <v/>
      </c>
      <c r="K174" s="19" t="n"/>
    </row>
    <row r="175">
      <c r="A175" s="19" t="n"/>
      <c r="B175" s="19" t="n"/>
      <c r="C175" s="19" t="n"/>
      <c r="D175" s="19" t="n"/>
      <c r="E175" s="19" t="n"/>
      <c r="F175" s="19" t="n"/>
      <c r="G175" s="19" t="n"/>
      <c r="H175" s="19" t="n"/>
      <c r="I175" s="19" t="n"/>
      <c r="J175" s="17">
        <f>IF(I175="","",I175-Settings!$B$2)</f>
        <v/>
      </c>
      <c r="K175" s="19" t="n"/>
    </row>
    <row r="176">
      <c r="A176" s="19" t="n"/>
      <c r="B176" s="19" t="n"/>
      <c r="C176" s="19" t="n"/>
      <c r="D176" s="19" t="n"/>
      <c r="E176" s="19" t="n"/>
      <c r="F176" s="19" t="n"/>
      <c r="G176" s="19" t="n"/>
      <c r="H176" s="19" t="n"/>
      <c r="I176" s="19" t="n"/>
      <c r="J176" s="17">
        <f>IF(I176="","",I176-Settings!$B$2)</f>
        <v/>
      </c>
      <c r="K176" s="19" t="n"/>
    </row>
    <row r="177">
      <c r="A177" s="19" t="n"/>
      <c r="B177" s="19" t="n"/>
      <c r="C177" s="19" t="n"/>
      <c r="D177" s="19" t="n"/>
      <c r="E177" s="19" t="n"/>
      <c r="F177" s="19" t="n"/>
      <c r="G177" s="19" t="n"/>
      <c r="H177" s="19" t="n"/>
      <c r="I177" s="19" t="n"/>
      <c r="J177" s="17">
        <f>IF(I177="","",I177-Settings!$B$2)</f>
        <v/>
      </c>
      <c r="K177" s="19" t="n"/>
    </row>
    <row r="178">
      <c r="A178" s="19" t="n"/>
      <c r="B178" s="19" t="n"/>
      <c r="C178" s="19" t="n"/>
      <c r="D178" s="19" t="n"/>
      <c r="E178" s="19" t="n"/>
      <c r="F178" s="19" t="n"/>
      <c r="G178" s="19" t="n"/>
      <c r="H178" s="19" t="n"/>
      <c r="I178" s="19" t="n"/>
      <c r="J178" s="17">
        <f>IF(I178="","",I178-Settings!$B$2)</f>
        <v/>
      </c>
      <c r="K178" s="19" t="n"/>
    </row>
    <row r="179">
      <c r="A179" s="19" t="n"/>
      <c r="B179" s="19" t="n"/>
      <c r="C179" s="19" t="n"/>
      <c r="D179" s="19" t="n"/>
      <c r="E179" s="19" t="n"/>
      <c r="F179" s="19" t="n"/>
      <c r="G179" s="19" t="n"/>
      <c r="H179" s="19" t="n"/>
      <c r="I179" s="19" t="n"/>
      <c r="J179" s="17">
        <f>IF(I179="","",I179-Settings!$B$2)</f>
        <v/>
      </c>
      <c r="K179" s="19" t="n"/>
    </row>
    <row r="180">
      <c r="A180" s="19" t="n"/>
      <c r="B180" s="19" t="n"/>
      <c r="C180" s="19" t="n"/>
      <c r="D180" s="19" t="n"/>
      <c r="E180" s="19" t="n"/>
      <c r="F180" s="19" t="n"/>
      <c r="G180" s="19" t="n"/>
      <c r="H180" s="19" t="n"/>
      <c r="I180" s="19" t="n"/>
      <c r="J180" s="17">
        <f>IF(I180="","",I180-Settings!$B$2)</f>
        <v/>
      </c>
      <c r="K180" s="19" t="n"/>
    </row>
    <row r="181">
      <c r="A181" s="19" t="n"/>
      <c r="B181" s="19" t="n"/>
      <c r="C181" s="19" t="n"/>
      <c r="D181" s="19" t="n"/>
      <c r="E181" s="19" t="n"/>
      <c r="F181" s="19" t="n"/>
      <c r="G181" s="19" t="n"/>
      <c r="H181" s="19" t="n"/>
      <c r="I181" s="19" t="n"/>
      <c r="J181" s="17">
        <f>IF(I181="","",I181-Settings!$B$2)</f>
        <v/>
      </c>
      <c r="K181" s="19" t="n"/>
    </row>
    <row r="182">
      <c r="A182" s="19" t="n"/>
      <c r="B182" s="19" t="n"/>
      <c r="C182" s="19" t="n"/>
      <c r="D182" s="19" t="n"/>
      <c r="E182" s="19" t="n"/>
      <c r="F182" s="19" t="n"/>
      <c r="G182" s="19" t="n"/>
      <c r="H182" s="19" t="n"/>
      <c r="I182" s="19" t="n"/>
      <c r="J182" s="17">
        <f>IF(I182="","",I182-Settings!$B$2)</f>
        <v/>
      </c>
      <c r="K182" s="19" t="n"/>
    </row>
    <row r="183">
      <c r="A183" s="19" t="n"/>
      <c r="B183" s="19" t="n"/>
      <c r="C183" s="19" t="n"/>
      <c r="D183" s="19" t="n"/>
      <c r="E183" s="19" t="n"/>
      <c r="F183" s="19" t="n"/>
      <c r="G183" s="19" t="n"/>
      <c r="H183" s="19" t="n"/>
      <c r="I183" s="19" t="n"/>
      <c r="J183" s="17">
        <f>IF(I183="","",I183-Settings!$B$2)</f>
        <v/>
      </c>
      <c r="K183" s="19" t="n"/>
    </row>
    <row r="184">
      <c r="A184" s="19" t="n"/>
      <c r="B184" s="19" t="n"/>
      <c r="C184" s="19" t="n"/>
      <c r="D184" s="19" t="n"/>
      <c r="E184" s="19" t="n"/>
      <c r="F184" s="19" t="n"/>
      <c r="G184" s="19" t="n"/>
      <c r="H184" s="19" t="n"/>
      <c r="I184" s="19" t="n"/>
      <c r="J184" s="17">
        <f>IF(I184="","",I184-Settings!$B$2)</f>
        <v/>
      </c>
      <c r="K184" s="19" t="n"/>
    </row>
    <row r="185">
      <c r="A185" s="19" t="n"/>
      <c r="B185" s="19" t="n"/>
      <c r="C185" s="19" t="n"/>
      <c r="D185" s="19" t="n"/>
      <c r="E185" s="19" t="n"/>
      <c r="F185" s="19" t="n"/>
      <c r="G185" s="19" t="n"/>
      <c r="H185" s="19" t="n"/>
      <c r="I185" s="19" t="n"/>
      <c r="J185" s="17">
        <f>IF(I185="","",I185-Settings!$B$2)</f>
        <v/>
      </c>
      <c r="K185" s="19" t="n"/>
    </row>
    <row r="186">
      <c r="A186" s="19" t="n"/>
      <c r="B186" s="19" t="n"/>
      <c r="C186" s="19" t="n"/>
      <c r="D186" s="19" t="n"/>
      <c r="E186" s="19" t="n"/>
      <c r="F186" s="19" t="n"/>
      <c r="G186" s="19" t="n"/>
      <c r="H186" s="19" t="n"/>
      <c r="I186" s="19" t="n"/>
      <c r="J186" s="17">
        <f>IF(I186="","",I186-Settings!$B$2)</f>
        <v/>
      </c>
      <c r="K186" s="19" t="n"/>
    </row>
    <row r="187">
      <c r="A187" s="19" t="n"/>
      <c r="B187" s="19" t="n"/>
      <c r="C187" s="19" t="n"/>
      <c r="D187" s="19" t="n"/>
      <c r="E187" s="19" t="n"/>
      <c r="F187" s="19" t="n"/>
      <c r="G187" s="19" t="n"/>
      <c r="H187" s="19" t="n"/>
      <c r="I187" s="19" t="n"/>
      <c r="J187" s="17">
        <f>IF(I187="","",I187-Settings!$B$2)</f>
        <v/>
      </c>
      <c r="K187" s="19" t="n"/>
    </row>
    <row r="188">
      <c r="A188" s="19" t="n"/>
      <c r="B188" s="19" t="n"/>
      <c r="C188" s="19" t="n"/>
      <c r="D188" s="19" t="n"/>
      <c r="E188" s="19" t="n"/>
      <c r="F188" s="19" t="n"/>
      <c r="G188" s="19" t="n"/>
      <c r="H188" s="19" t="n"/>
      <c r="I188" s="19" t="n"/>
      <c r="J188" s="17">
        <f>IF(I188="","",I188-Settings!$B$2)</f>
        <v/>
      </c>
      <c r="K188" s="19" t="n"/>
    </row>
    <row r="189">
      <c r="A189" s="19" t="n"/>
      <c r="B189" s="19" t="n"/>
      <c r="C189" s="19" t="n"/>
      <c r="D189" s="19" t="n"/>
      <c r="E189" s="19" t="n"/>
      <c r="F189" s="19" t="n"/>
      <c r="G189" s="19" t="n"/>
      <c r="H189" s="19" t="n"/>
      <c r="I189" s="19" t="n"/>
      <c r="J189" s="17">
        <f>IF(I189="","",I189-Settings!$B$2)</f>
        <v/>
      </c>
      <c r="K189" s="19" t="n"/>
    </row>
    <row r="190">
      <c r="A190" s="19" t="n"/>
      <c r="B190" s="19" t="n"/>
      <c r="C190" s="19" t="n"/>
      <c r="D190" s="19" t="n"/>
      <c r="E190" s="19" t="n"/>
      <c r="F190" s="19" t="n"/>
      <c r="G190" s="19" t="n"/>
      <c r="H190" s="19" t="n"/>
      <c r="I190" s="19" t="n"/>
      <c r="J190" s="17">
        <f>IF(I190="","",I190-Settings!$B$2)</f>
        <v/>
      </c>
      <c r="K190" s="19" t="n"/>
    </row>
    <row r="191">
      <c r="A191" s="19" t="n"/>
      <c r="B191" s="19" t="n"/>
      <c r="C191" s="19" t="n"/>
      <c r="D191" s="19" t="n"/>
      <c r="E191" s="19" t="n"/>
      <c r="F191" s="19" t="n"/>
      <c r="G191" s="19" t="n"/>
      <c r="H191" s="19" t="n"/>
      <c r="I191" s="19" t="n"/>
      <c r="J191" s="17">
        <f>IF(I191="","",I191-Settings!$B$2)</f>
        <v/>
      </c>
      <c r="K191" s="19" t="n"/>
    </row>
    <row r="192">
      <c r="A192" s="19" t="n"/>
      <c r="B192" s="19" t="n"/>
      <c r="C192" s="19" t="n"/>
      <c r="D192" s="19" t="n"/>
      <c r="E192" s="19" t="n"/>
      <c r="F192" s="19" t="n"/>
      <c r="G192" s="19" t="n"/>
      <c r="H192" s="19" t="n"/>
      <c r="I192" s="19" t="n"/>
      <c r="J192" s="17">
        <f>IF(I192="","",I192-Settings!$B$2)</f>
        <v/>
      </c>
      <c r="K192" s="19" t="n"/>
    </row>
    <row r="193">
      <c r="A193" s="19" t="n"/>
      <c r="B193" s="19" t="n"/>
      <c r="C193" s="19" t="n"/>
      <c r="D193" s="19" t="n"/>
      <c r="E193" s="19" t="n"/>
      <c r="F193" s="19" t="n"/>
      <c r="G193" s="19" t="n"/>
      <c r="H193" s="19" t="n"/>
      <c r="I193" s="19" t="n"/>
      <c r="J193" s="17">
        <f>IF(I193="","",I193-Settings!$B$2)</f>
        <v/>
      </c>
      <c r="K193" s="19" t="n"/>
    </row>
    <row r="194">
      <c r="A194" s="19" t="n"/>
      <c r="B194" s="19" t="n"/>
      <c r="C194" s="19" t="n"/>
      <c r="D194" s="19" t="n"/>
      <c r="E194" s="19" t="n"/>
      <c r="F194" s="19" t="n"/>
      <c r="G194" s="19" t="n"/>
      <c r="H194" s="19" t="n"/>
      <c r="I194" s="19" t="n"/>
      <c r="J194" s="17">
        <f>IF(I194="","",I194-Settings!$B$2)</f>
        <v/>
      </c>
      <c r="K194" s="19" t="n"/>
    </row>
    <row r="195">
      <c r="A195" s="19" t="n"/>
      <c r="B195" s="19" t="n"/>
      <c r="C195" s="19" t="n"/>
      <c r="D195" s="19" t="n"/>
      <c r="E195" s="19" t="n"/>
      <c r="F195" s="19" t="n"/>
      <c r="G195" s="19" t="n"/>
      <c r="H195" s="19" t="n"/>
      <c r="I195" s="19" t="n"/>
      <c r="J195" s="17">
        <f>IF(I195="","",I195-Settings!$B$2)</f>
        <v/>
      </c>
      <c r="K195" s="19" t="n"/>
    </row>
    <row r="196">
      <c r="A196" s="19" t="n"/>
      <c r="B196" s="19" t="n"/>
      <c r="C196" s="19" t="n"/>
      <c r="D196" s="19" t="n"/>
      <c r="E196" s="19" t="n"/>
      <c r="F196" s="19" t="n"/>
      <c r="G196" s="19" t="n"/>
      <c r="H196" s="19" t="n"/>
      <c r="I196" s="19" t="n"/>
      <c r="J196" s="17">
        <f>IF(I196="","",I196-Settings!$B$2)</f>
        <v/>
      </c>
      <c r="K196" s="19" t="n"/>
    </row>
    <row r="197">
      <c r="A197" s="19" t="n"/>
      <c r="B197" s="19" t="n"/>
      <c r="C197" s="19" t="n"/>
      <c r="D197" s="19" t="n"/>
      <c r="E197" s="19" t="n"/>
      <c r="F197" s="19" t="n"/>
      <c r="G197" s="19" t="n"/>
      <c r="H197" s="19" t="n"/>
      <c r="I197" s="19" t="n"/>
      <c r="J197" s="17">
        <f>IF(I197="","",I197-Settings!$B$2)</f>
        <v/>
      </c>
      <c r="K197" s="19" t="n"/>
    </row>
    <row r="198">
      <c r="A198" s="19" t="n"/>
      <c r="B198" s="19" t="n"/>
      <c r="C198" s="19" t="n"/>
      <c r="D198" s="19" t="n"/>
      <c r="E198" s="19" t="n"/>
      <c r="F198" s="19" t="n"/>
      <c r="G198" s="19" t="n"/>
      <c r="H198" s="19" t="n"/>
      <c r="I198" s="19" t="n"/>
      <c r="J198" s="17">
        <f>IF(I198="","",I198-Settings!$B$2)</f>
        <v/>
      </c>
      <c r="K198" s="19" t="n"/>
    </row>
    <row r="199">
      <c r="A199" s="19" t="n"/>
      <c r="B199" s="19" t="n"/>
      <c r="C199" s="19" t="n"/>
      <c r="D199" s="19" t="n"/>
      <c r="E199" s="19" t="n"/>
      <c r="F199" s="19" t="n"/>
      <c r="G199" s="19" t="n"/>
      <c r="H199" s="19" t="n"/>
      <c r="I199" s="19" t="n"/>
      <c r="J199" s="17">
        <f>IF(I199="","",I199-Settings!$B$2)</f>
        <v/>
      </c>
      <c r="K199" s="19" t="n"/>
    </row>
    <row r="200">
      <c r="A200" s="19" t="n"/>
      <c r="B200" s="19" t="n"/>
      <c r="C200" s="19" t="n"/>
      <c r="D200" s="19" t="n"/>
      <c r="E200" s="19" t="n"/>
      <c r="F200" s="19" t="n"/>
      <c r="G200" s="19" t="n"/>
      <c r="H200" s="19" t="n"/>
      <c r="I200" s="19" t="n"/>
      <c r="J200" s="17">
        <f>IF(I200="","",I200-Settings!$B$2)</f>
        <v/>
      </c>
      <c r="K200" s="19" t="n"/>
    </row>
    <row r="201">
      <c r="A201" s="19" t="n"/>
      <c r="B201" s="19" t="n"/>
      <c r="C201" s="19" t="n"/>
      <c r="D201" s="19" t="n"/>
      <c r="E201" s="19" t="n"/>
      <c r="F201" s="19" t="n"/>
      <c r="G201" s="19" t="n"/>
      <c r="H201" s="19" t="n"/>
      <c r="I201" s="19" t="n"/>
      <c r="J201" s="17">
        <f>IF(I201="","",I201-Settings!$B$2)</f>
        <v/>
      </c>
      <c r="K201" s="19" t="n"/>
    </row>
  </sheetData>
  <autoFilter ref="A1:K201"/>
  <conditionalFormatting sqref="J2:J201">
    <cfRule type="cellIs" priority="1" operator="lessThan" dxfId="0">
      <formula>0</formula>
    </cfRule>
  </conditionalFormatting>
  <conditionalFormatting sqref="K2:K201">
    <cfRule type="cellIs" priority="2" operator="equal" dxfId="1">
      <formula>"Met"</formula>
    </cfRule>
    <cfRule type="cellIs" priority="3" operator="equal" dxfId="2">
      <formula>"Deviated - exception registered"</formula>
    </cfRule>
  </conditionalFormatting>
  <dataValidations count="2">
    <dataValidation sqref="E2:E201" showDropDown="0" showInputMessage="0" showErrorMessage="0" allowBlank="1" type="list">
      <formula1>=Lists!$D$1:$D$5</formula1>
    </dataValidation>
    <dataValidation sqref="K2:K201" showDropDown="0" showInputMessage="0" showErrorMessage="0" allowBlank="1" type="list">
      <formula1>=Lists!$C$1:$C$4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0" customWidth="1" min="1" max="1"/>
    <col width="46" customWidth="1" min="2" max="2"/>
    <col width="14" customWidth="1" min="3" max="3"/>
    <col width="10" customWidth="1" min="4" max="4"/>
    <col width="34" customWidth="1" min="5" max="5"/>
    <col width="34" customWidth="1" min="6" max="6"/>
    <col width="11" customWidth="1" min="7" max="7"/>
    <col width="11" customWidth="1" min="8" max="8"/>
  </cols>
  <sheetData>
    <row r="1">
      <c r="A1" s="20" t="inlineStr">
        <is>
          <t>Architecture criteria for vendor selection</t>
        </is>
      </c>
    </row>
    <row r="2">
      <c r="A2" s="8" t="inlineStr">
        <is>
          <t>Mandatory criteria first. A mandatory criterion removes a vendor rather than costing points, which makes it worth more than any weight. Anchors written before anyone sees a proposal.</t>
        </is>
      </c>
    </row>
    <row r="4">
      <c r="A4" s="12" t="inlineStr">
        <is>
          <t>Ref</t>
        </is>
      </c>
      <c r="B4" s="12" t="inlineStr">
        <is>
          <t>Criterion</t>
        </is>
      </c>
      <c r="C4" s="12" t="inlineStr">
        <is>
          <t>Category</t>
        </is>
      </c>
      <c r="D4" s="12" t="inlineStr">
        <is>
          <t>Weight</t>
        </is>
      </c>
      <c r="E4" s="12" t="inlineStr">
        <is>
          <t>Anchor: what a 5 looks like</t>
        </is>
      </c>
      <c r="F4" s="12" t="inlineStr">
        <is>
          <t>Anchor: what a 2 looks like</t>
        </is>
      </c>
      <c r="G4" s="12" t="inlineStr">
        <is>
          <t>Vendor A</t>
        </is>
      </c>
      <c r="H4" s="12" t="inlineStr">
        <is>
          <t>Vendor B</t>
        </is>
      </c>
    </row>
    <row r="5">
      <c r="A5" s="13" t="inlineStr">
        <is>
          <t>M-1</t>
        </is>
      </c>
      <c r="B5" s="13" t="inlineStr">
        <is>
          <t>Operates against externally mastered core data without maintaining its own authoritative copy</t>
        </is>
      </c>
      <c r="C5" s="13" t="inlineStr">
        <is>
          <t>Mandatory</t>
        </is>
      </c>
      <c r="D5" s="13" t="n"/>
      <c r="E5" s="13" t="inlineStr">
        <is>
          <t>Demonstrated live against our test instance</t>
        </is>
      </c>
      <c r="F5" s="13" t="inlineStr">
        <is>
          <t>-</t>
        </is>
      </c>
      <c r="G5" s="19" t="inlineStr">
        <is>
          <t>PASS</t>
        </is>
      </c>
      <c r="H5" s="19" t="inlineStr">
        <is>
          <t>FAIL</t>
        </is>
      </c>
    </row>
    <row r="6">
      <c r="A6" s="13" t="inlineStr">
        <is>
          <t>M-2</t>
        </is>
      </c>
      <c r="B6" s="13" t="inlineStr">
        <is>
          <t>Data for named markets can be hosted in-country, contractually</t>
        </is>
      </c>
      <c r="C6" s="13" t="inlineStr">
        <is>
          <t>Mandatory</t>
        </is>
      </c>
      <c r="D6" s="13" t="n"/>
      <c r="E6" s="13" t="inlineStr">
        <is>
          <t>Named region in the draft contract</t>
        </is>
      </c>
      <c r="F6" s="13" t="inlineStr">
        <is>
          <t>-</t>
        </is>
      </c>
      <c r="G6" s="19" t="inlineStr">
        <is>
          <t>PASS</t>
        </is>
      </c>
      <c r="H6" s="19" t="inlineStr">
        <is>
          <t>PASS</t>
        </is>
      </c>
    </row>
    <row r="7">
      <c r="A7" s="13" t="inlineStr">
        <is>
          <t>M-3</t>
        </is>
      </c>
      <c r="B7" s="13" t="inlineStr">
        <is>
          <t>Full data extract in a documented format within 30 days of termination</t>
        </is>
      </c>
      <c r="C7" s="13" t="inlineStr">
        <is>
          <t>Mandatory</t>
        </is>
      </c>
      <c r="D7" s="13" t="n"/>
      <c r="E7" s="13" t="inlineStr">
        <is>
          <t>Clause offered before negotiation</t>
        </is>
      </c>
      <c r="F7" s="13" t="inlineStr">
        <is>
          <t>-</t>
        </is>
      </c>
      <c r="G7" s="19" t="inlineStr">
        <is>
          <t>PASS</t>
        </is>
      </c>
      <c r="H7" s="19" t="inlineStr">
        <is>
          <t>PASS</t>
        </is>
      </c>
    </row>
    <row r="8">
      <c r="A8" s="13" t="inlineStr">
        <is>
          <t>W-1</t>
        </is>
      </c>
      <c r="B8" s="13" t="inlineStr">
        <is>
          <t>Released, versioned APIs covering the objects we exchange</t>
        </is>
      </c>
      <c r="C8" s="13" t="inlineStr">
        <is>
          <t>Weighted</t>
        </is>
      </c>
      <c r="D8" s="21" t="n">
        <v>0.3</v>
      </c>
      <c r="E8" s="13" t="inlineStr">
        <is>
          <t>Public documentation, versioning policy, deprecation notice period stated</t>
        </is>
      </c>
      <c r="F8" s="13" t="inlineStr">
        <is>
          <t>Bespoke endpoints built per customer, no versioning</t>
        </is>
      </c>
      <c r="G8" s="19" t="n">
        <v>4</v>
      </c>
      <c r="H8" s="19" t="n">
        <v>3</v>
      </c>
    </row>
    <row r="9">
      <c r="A9" s="13" t="inlineStr">
        <is>
          <t>W-2</t>
        </is>
      </c>
      <c r="B9" s="13" t="inlineStr">
        <is>
          <t>Event publication for the objects we consume</t>
        </is>
      </c>
      <c r="C9" s="13" t="inlineStr">
        <is>
          <t>Weighted</t>
        </is>
      </c>
      <c r="D9" s="21" t="n">
        <v>0.2</v>
      </c>
      <c r="E9" s="13" t="inlineStr">
        <is>
          <t>Native event stream with replay from a point in time</t>
        </is>
      </c>
      <c r="F9" s="13" t="inlineStr">
        <is>
          <t>Polling only</t>
        </is>
      </c>
      <c r="G9" s="19" t="n">
        <v>5</v>
      </c>
      <c r="H9" s="19" t="n">
        <v>2</v>
      </c>
    </row>
    <row r="10">
      <c r="A10" s="13" t="inlineStr">
        <is>
          <t>W-3</t>
        </is>
      </c>
      <c r="B10" s="13" t="inlineStr">
        <is>
          <t>Configuration depth before code is required</t>
        </is>
      </c>
      <c r="C10" s="13" t="inlineStr">
        <is>
          <t>Weighted</t>
        </is>
      </c>
      <c r="D10" s="21" t="n">
        <v>0.2</v>
      </c>
      <c r="E10" s="13" t="inlineStr">
        <is>
          <t>Our three known variants configurable, shown live</t>
        </is>
      </c>
      <c r="F10" s="13" t="inlineStr">
        <is>
          <t>Two of three need vendor development</t>
        </is>
      </c>
      <c r="G10" s="19" t="n">
        <v>4</v>
      </c>
      <c r="H10" s="19" t="n">
        <v>4</v>
      </c>
    </row>
    <row r="11">
      <c r="A11" s="13" t="inlineStr">
        <is>
          <t>W-4</t>
        </is>
      </c>
      <c r="B11" s="13" t="inlineStr">
        <is>
          <t>Identity integration with our standard</t>
        </is>
      </c>
      <c r="C11" s="13" t="inlineStr">
        <is>
          <t>Weighted</t>
        </is>
      </c>
      <c r="D11" s="21" t="n">
        <v>0.15</v>
      </c>
      <c r="E11" s="13" t="inlineStr">
        <is>
          <t>Standards-based, self-service, demonstrated</t>
        </is>
      </c>
      <c r="F11" s="13" t="inlineStr">
        <is>
          <t>Supported via a professional services engagement</t>
        </is>
      </c>
      <c r="G11" s="19" t="n">
        <v>3</v>
      </c>
      <c r="H11" s="19" t="n">
        <v>5</v>
      </c>
    </row>
    <row r="12">
      <c r="A12" s="13" t="inlineStr">
        <is>
          <t>W-5</t>
        </is>
      </c>
      <c r="B12" s="13" t="inlineStr">
        <is>
          <t>Upgrade cadence and customer control over timing</t>
        </is>
      </c>
      <c r="C12" s="13" t="inlineStr">
        <is>
          <t>Weighted</t>
        </is>
      </c>
      <c r="D12" s="21" t="n">
        <v>0.15</v>
      </c>
      <c r="E12" s="13" t="inlineStr">
        <is>
          <t>Published cadence, customer window, rehearsal environment</t>
        </is>
      </c>
      <c r="F12" s="13" t="inlineStr">
        <is>
          <t>Forced upgrades with two weeks' notice</t>
        </is>
      </c>
      <c r="G12" s="19" t="n">
        <v>4</v>
      </c>
      <c r="H12" s="19" t="n">
        <v>3</v>
      </c>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7">
      <c r="A27" s="22" t="inlineStr">
        <is>
          <t>Result</t>
        </is>
      </c>
    </row>
    <row r="28">
      <c r="A28" s="6" t="inlineStr">
        <is>
          <t>Mandatory criteria failed</t>
        </is>
      </c>
      <c r="G28" s="17">
        <f>COUNTIFS($C$5:$C$24,"Mandatory",G$5:G$24,"FAIL")</f>
        <v/>
      </c>
      <c r="H28" s="17">
        <f>COUNTIFS($C$5:$C$24,"Mandatory",H$5:H$24,"FAIL")</f>
        <v/>
      </c>
    </row>
    <row r="29">
      <c r="A29" s="6" t="inlineStr">
        <is>
          <t>Weighted architecture score (0 to 5)</t>
        </is>
      </c>
      <c r="G29" s="23">
        <f>IFERROR(SUMPRODUCT(($C$5:$C$24="Weighted")*$D$5:$D$24*IF(ISNUMBER(G$5:G$24),G$5:G$24,0))/SUMIF($C$5:$C$24,"Weighted",$D$5:$D$24),"")</f>
        <v/>
      </c>
      <c r="H29" s="23">
        <f>IFERROR(SUMPRODUCT(($C$5:$C$24="Weighted")*$D$5:$D$24*IF(ISNUMBER(H$5:H$24),H$5:H$24,0))/SUMIF($C$5:$C$24,"Weighted",$D$5:$D$24),"")</f>
        <v/>
      </c>
    </row>
    <row r="30">
      <c r="A30" s="6" t="inlineStr">
        <is>
          <t>Contribution to the total evaluation</t>
        </is>
      </c>
      <c r="G30" s="24">
        <f>IFERROR(G29/5*Settings!$B$6,"")</f>
        <v/>
      </c>
      <c r="H30" s="24">
        <f>IFERROR(H29/5*Settings!$B$6,"")</f>
        <v/>
      </c>
    </row>
    <row r="31">
      <c r="A31" s="6" t="inlineStr">
        <is>
          <t>Verdict</t>
        </is>
      </c>
      <c r="G31" s="25">
        <f>IF(G28&gt;0,"EXCLUDED - mandatory criterion failed","In scope")</f>
        <v/>
      </c>
      <c r="H31" s="25">
        <f>IF(H28&gt;0,"EXCLUDED - mandatory criterion failed","In scope")</f>
        <v/>
      </c>
    </row>
    <row r="33">
      <c r="A33" s="8" t="inlineStr">
        <is>
          <t>Evidence rules, per criterion: a live demonstration on our test instance, published API documentation, a reference call with a customer of similar shape, or a written contractual commitment. A yes on a questionnaire is not evidence.</t>
        </is>
      </c>
    </row>
    <row r="34">
      <c r="A34" s="8" t="inlineStr">
        <is>
          <t>Architecture share of the total evaluation is on the Settings sheet. At ten per cent it is a rounding error with a seat at the table. Twenty-five to thirty is where it becomes real - and one extra mandatory criterion is worth more than five points of weight.</t>
        </is>
      </c>
    </row>
  </sheetData>
  <conditionalFormatting sqref="G5:H24">
    <cfRule type="cellIs" priority="1" operator="equal" dxfId="0">
      <formula>"FAIL"</formula>
    </cfRule>
    <cfRule type="cellIs" priority="2" operator="equal" dxfId="1">
      <formula>"PASS"</formula>
    </cfRule>
  </conditionalFormatting>
  <conditionalFormatting sqref="G31:H31">
    <cfRule type="expression" priority="3" dxfId="0">
      <formula>ISNUMBER(SEARCH("EXCLUDED",G31))</formula>
    </cfRule>
    <cfRule type="cellIs" priority="4" operator="equal" dxfId="1">
      <formula>"In scope"</formula>
    </cfRule>
  </conditionalFormatting>
  <dataValidations count="1">
    <dataValidation sqref="C5:C40" showDropDown="0" showInputMessage="0" showErrorMessage="0" allowBlank="1" type="list">
      <formula1>=Lists!$F$1:$F$3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2026-08-12T14:25:17Z</dcterms:created>
  <dcterms:modified xmlns:dcterms="http://purl.org/dc/terms/" xmlns:xsi="http://www.w3.org/2001/XMLSchema-instance" xsi:type="dcterms:W3CDTF">2026-08-12T14:25:18Z</dcterms:modified>
</cp:coreProperties>
</file>